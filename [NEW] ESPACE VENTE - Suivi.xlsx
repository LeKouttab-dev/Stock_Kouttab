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vi Espace Vente" sheetId="1" r:id="rId4"/>
    <sheet state="visible" name="Récap (à retoucher)" sheetId="2" r:id="rId5"/>
    <sheet state="visible" name="Inventaires =&gt;" sheetId="3" r:id="rId6"/>
    <sheet state="visible" name="INV26-1" sheetId="4" r:id="rId7"/>
  </sheets>
  <definedNames/>
  <calcPr/>
  <extLst>
    <ext uri="GoogleSheetsCustomDataVersion2">
      <go:sheetsCustomData xmlns:go="http://customooxmlschemas.google.com/" r:id="rId8" roundtripDataChecksum="5E+ju7L96j/BHgUGEAkjEj8ZBm/nNHnWibMVOyYP3AU="/>
    </ext>
  </extLst>
</workbook>
</file>

<file path=xl/sharedStrings.xml><?xml version="1.0" encoding="utf-8"?>
<sst xmlns="http://schemas.openxmlformats.org/spreadsheetml/2006/main" count="242" uniqueCount="128">
  <si>
    <t>Suivi Espace-Vente</t>
  </si>
  <si>
    <t>From INV stock</t>
  </si>
  <si>
    <t>From INV caisse</t>
  </si>
  <si>
    <t>From HelloAsso</t>
  </si>
  <si>
    <t>Chiffre d'affaires - Réel</t>
  </si>
  <si>
    <t>Date d'inventaire</t>
  </si>
  <si>
    <t>Coût de revient</t>
  </si>
  <si>
    <t>CA théorique</t>
  </si>
  <si>
    <t>Caisse</t>
  </si>
  <si>
    <t>Carte bancaire</t>
  </si>
  <si>
    <t>Total encaissé</t>
  </si>
  <si>
    <t>Bénéfice</t>
  </si>
  <si>
    <t>Ctrl (si négatif pb)</t>
  </si>
  <si>
    <t>Source</t>
  </si>
  <si>
    <t>02/01/26-08/01/26</t>
  </si>
  <si>
    <t>INV26-00</t>
  </si>
  <si>
    <t>09/01/26-15/01/26</t>
  </si>
  <si>
    <t>INV26-01</t>
  </si>
  <si>
    <t>16/01/26-22/01/26</t>
  </si>
  <si>
    <t>INV26-02</t>
  </si>
  <si>
    <t>23/01/26-29/01/26</t>
  </si>
  <si>
    <t>INV26-03</t>
  </si>
  <si>
    <t>30/01/26-04/02/26</t>
  </si>
  <si>
    <t>INV26-04</t>
  </si>
  <si>
    <t>05/02/26-11/02/26</t>
  </si>
  <si>
    <t>INV26-05</t>
  </si>
  <si>
    <t>12/02/26 - 18/02/26</t>
  </si>
  <si>
    <t>INV26-06</t>
  </si>
  <si>
    <t>18/02/26 - 28/02/26</t>
  </si>
  <si>
    <t>INV26-07</t>
  </si>
  <si>
    <t>28/02/26 - 07/03/26</t>
  </si>
  <si>
    <t>INV26-08</t>
  </si>
  <si>
    <t>07/03/26 - 25/03/26</t>
  </si>
  <si>
    <t>INV26-09</t>
  </si>
  <si>
    <t>25/03/26 - 01/04/26</t>
  </si>
  <si>
    <t>INV26-10</t>
  </si>
  <si>
    <t>01/04/26 - 08/04/26</t>
  </si>
  <si>
    <t>INV26-11</t>
  </si>
  <si>
    <t>08/04/26 - 29/04/26</t>
  </si>
  <si>
    <t>INV26-12</t>
  </si>
  <si>
    <t>29/04/26 - 20/05/26</t>
  </si>
  <si>
    <t>INV26-13</t>
  </si>
  <si>
    <t>20/05/26 - 28/05/26</t>
  </si>
  <si>
    <t>INV26-14</t>
  </si>
  <si>
    <t>Inventaire du Stock</t>
  </si>
  <si>
    <t>Montant du Stock</t>
  </si>
  <si>
    <r>
      <rPr>
        <rFont val="Calibri"/>
        <b/>
        <color rgb="FF0ABEB5"/>
        <sz val="20.0"/>
      </rPr>
      <t>Entrées</t>
    </r>
    <r>
      <rPr>
        <rFont val="Calibri"/>
        <b/>
        <color rgb="FF000000"/>
        <sz val="18.0"/>
      </rPr>
      <t xml:space="preserve"> et </t>
    </r>
    <r>
      <rPr>
        <rFont val="Calibri"/>
        <b/>
        <color rgb="FFFF5E3E"/>
        <sz val="20.0"/>
      </rPr>
      <t>Sorties</t>
    </r>
    <r>
      <rPr>
        <rFont val="Calibri"/>
        <b/>
        <color rgb="FF000000"/>
        <sz val="18.0"/>
      </rPr>
      <t xml:space="preserve"> du STOCK</t>
    </r>
  </si>
  <si>
    <t>Buy</t>
  </si>
  <si>
    <t>Inv</t>
  </si>
  <si>
    <t>Catégorie</t>
  </si>
  <si>
    <t>Désignation</t>
  </si>
  <si>
    <t>Produit permanent</t>
  </si>
  <si>
    <t>Stock</t>
  </si>
  <si>
    <t>Entrée</t>
  </si>
  <si>
    <t>Sortie</t>
  </si>
  <si>
    <t>Alerte Stock</t>
  </si>
  <si>
    <t>Stock Final</t>
  </si>
  <si>
    <t>P.U.</t>
  </si>
  <si>
    <t>Valeur du Stock</t>
  </si>
  <si>
    <t>Date</t>
  </si>
  <si>
    <t>Code</t>
  </si>
  <si>
    <t>Comptage</t>
  </si>
  <si>
    <t>Vendu</t>
  </si>
  <si>
    <t>Prix d'achat</t>
  </si>
  <si>
    <t>Prix de vente</t>
  </si>
  <si>
    <t>Mini</t>
  </si>
  <si>
    <t>initial</t>
  </si>
  <si>
    <t>Article</t>
  </si>
  <si>
    <t>From cash</t>
  </si>
  <si>
    <t>Sucré</t>
  </si>
  <si>
    <t>Mini BN chocolat 35g</t>
  </si>
  <si>
    <t>O</t>
  </si>
  <si>
    <t>SAVANE pocket chocolat 30g</t>
  </si>
  <si>
    <t>N/A</t>
  </si>
  <si>
    <t>Crèpes chocolat WHAOU 32g</t>
  </si>
  <si>
    <t>Kinder Délice cacao 39g</t>
  </si>
  <si>
    <t>Gauffres choco eco+ 60g</t>
  </si>
  <si>
    <t>Salé</t>
  </si>
  <si>
    <t>Chips classique Vico 27,5g</t>
  </si>
  <si>
    <t>Dragibus 400g</t>
  </si>
  <si>
    <t>Miel d'Anas</t>
  </si>
  <si>
    <t>Liquide</t>
  </si>
  <si>
    <t>Palestine Cola</t>
  </si>
  <si>
    <t>Palestine Lemon</t>
  </si>
  <si>
    <t>Cristaline fraise</t>
  </si>
  <si>
    <t>Cristaline pêche</t>
  </si>
  <si>
    <t>Mecca Cola</t>
  </si>
  <si>
    <t>Oasis PCF</t>
  </si>
  <si>
    <t>Granini mangue</t>
  </si>
  <si>
    <t>Granini orange</t>
  </si>
  <si>
    <t>Granini pomme</t>
  </si>
  <si>
    <t>Kinder Bueno</t>
  </si>
  <si>
    <t>Airwaves menthol 10g</t>
  </si>
  <si>
    <t>N</t>
  </si>
  <si>
    <t>Airwaves cassis 10g</t>
  </si>
  <si>
    <t>Kinder contrefaçon</t>
  </si>
  <si>
    <t>Orangina</t>
  </si>
  <si>
    <t>Granini ACE</t>
  </si>
  <si>
    <t>Inventaire Hebdommadaire</t>
  </si>
  <si>
    <t>Heure</t>
  </si>
  <si>
    <t>SI</t>
  </si>
  <si>
    <t>Mouvement</t>
  </si>
  <si>
    <t>SF</t>
  </si>
  <si>
    <t>P.U achat</t>
  </si>
  <si>
    <t>P.U vente</t>
  </si>
  <si>
    <t>Colonne 1</t>
  </si>
  <si>
    <t>Achat</t>
  </si>
  <si>
    <t>11/7/2026</t>
  </si>
  <si>
    <t>Prix de revient</t>
  </si>
  <si>
    <t>Marge</t>
  </si>
  <si>
    <t>Kinder Délice cacao 39g (par 10)</t>
  </si>
  <si>
    <t>Gauffres choco eco+ 60g (par 5)</t>
  </si>
  <si>
    <t>Chips classique Vico 27,5g (par 6)</t>
  </si>
  <si>
    <t>Dragibus 20g (par 20)</t>
  </si>
  <si>
    <t>Kinder Bueno (par 5)</t>
  </si>
  <si>
    <t>Miel de tilleul</t>
  </si>
  <si>
    <t>Miel de forêt</t>
  </si>
  <si>
    <t>Miel d'acacia</t>
  </si>
  <si>
    <t>Miel de sarasin</t>
  </si>
  <si>
    <t>Miel de printemps</t>
  </si>
  <si>
    <t>Picks Chocolat</t>
  </si>
  <si>
    <t>Palestine Cola Sugar Free</t>
  </si>
  <si>
    <t>Oasis tropical</t>
  </si>
  <si>
    <t>Capri-Sun</t>
  </si>
  <si>
    <t>Palestine Orange</t>
  </si>
  <si>
    <t>Oasis fraise framboise</t>
  </si>
  <si>
    <t>Palestine energy drink</t>
  </si>
  <si>
    <t>Cristaline gazeux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</si>
</sst>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\ [$€-40C]_-;\-* #,##0.00\ [$€-40C]_-;_-* &quot;-&quot;??\ [$€-40C]_-;_-@"/>
    <numFmt numFmtId="165" formatCode="D/M/YYYY"/>
    <numFmt numFmtId="166" formatCode="_-* #,##0.00\ &quot;€&quot;_-;\-* #,##0.00\ &quot;€&quot;_-;_-* &quot;-&quot;??\ &quot;€&quot;_-;_-@"/>
    <numFmt numFmtId="167" formatCode="dd/mm/yyyy"/>
    <numFmt numFmtId="168" formatCode="hh:mm"/>
    <numFmt numFmtId="169" formatCode="dddd\ d\ mmmm"/>
    <numFmt numFmtId="170" formatCode="d/m/yyyy"/>
  </numFmts>
  <fonts count="30">
    <font>
      <sz val="11.0"/>
      <color theme="1"/>
      <name val="Aptos Narrow"/>
      <scheme val="minor"/>
    </font>
    <font>
      <b/>
      <sz val="22.0"/>
      <color rgb="FF216361"/>
      <name val="Calibri"/>
    </font>
    <font/>
    <font>
      <sz val="11.0"/>
      <color rgb="FF000000"/>
      <name val="Calibri"/>
    </font>
    <font>
      <i/>
      <sz val="10.0"/>
      <color rgb="FF216361"/>
      <name val="Calibri"/>
    </font>
    <font>
      <b/>
      <sz val="11.0"/>
      <color rgb="FF000000"/>
      <name val="Calibri"/>
    </font>
    <font>
      <b/>
      <sz val="14.0"/>
      <color rgb="FFFFFFFF"/>
      <name val="Calibri"/>
    </font>
    <font>
      <sz val="12.0"/>
      <color rgb="FF000000"/>
      <name val="Calibri"/>
    </font>
    <font>
      <b/>
      <sz val="12.0"/>
      <color rgb="FFC00000"/>
      <name val="Calibri"/>
    </font>
    <font>
      <sz val="12.0"/>
      <color rgb="FF4A86E8"/>
      <name val="Calibri"/>
    </font>
    <font>
      <b/>
      <sz val="12.0"/>
      <color rgb="FF000000"/>
      <name val="Calibri"/>
    </font>
    <font>
      <sz val="11.0"/>
      <color theme="1"/>
      <name val="Aptos Narrow"/>
    </font>
    <font>
      <sz val="11.0"/>
      <color theme="1"/>
      <name val="Arial"/>
    </font>
    <font>
      <b/>
      <sz val="18.0"/>
      <color rgb="FF000000"/>
      <name val="Calibri"/>
    </font>
    <font>
      <b/>
      <sz val="14.0"/>
      <color rgb="FF236767"/>
      <name val="Calibri"/>
    </font>
    <font>
      <b/>
      <sz val="20.0"/>
      <color rgb="FF0ABEB5"/>
      <name val="Calibri"/>
    </font>
    <font>
      <i/>
      <sz val="11.0"/>
      <color rgb="FF000000"/>
      <name val="Calibri"/>
    </font>
    <font>
      <b/>
      <sz val="12.0"/>
      <color rgb="FFFFFFFF"/>
      <name val="Calibri"/>
    </font>
    <font>
      <b/>
      <sz val="14.0"/>
      <color rgb="FF000000"/>
      <name val="Calibri"/>
    </font>
    <font>
      <b/>
      <sz val="14.0"/>
      <color rgb="FF404040"/>
      <name val="Calibri"/>
    </font>
    <font>
      <b/>
      <sz val="14.0"/>
      <color rgb="FF252529"/>
      <name val="Calibri"/>
    </font>
    <font>
      <i/>
      <sz val="14.0"/>
      <color rgb="FFFFFFFF"/>
      <name val="Calibri"/>
    </font>
    <font>
      <sz val="10.0"/>
      <color theme="1"/>
      <name val="Arial"/>
    </font>
    <font>
      <b/>
      <sz val="15.0"/>
      <color theme="1"/>
      <name val="Arial"/>
    </font>
    <font>
      <sz val="10.0"/>
      <color rgb="FF000000"/>
      <name val="Aptos Narrow"/>
    </font>
    <font>
      <b/>
      <sz val="10.0"/>
      <color theme="1"/>
      <name val="Arial"/>
    </font>
    <font>
      <b/>
      <sz val="10.0"/>
      <color theme="1"/>
      <name val="Aptos Narrow"/>
    </font>
    <font>
      <b/>
      <sz val="10.0"/>
      <color theme="0"/>
      <name val="Aptos Narrow"/>
    </font>
    <font>
      <sz val="10.0"/>
      <color rgb="FF000000"/>
      <name val="Arial"/>
    </font>
    <font>
      <sz val="10.0"/>
      <color theme="1"/>
      <name val="Aptos Narrow"/>
    </font>
  </fonts>
  <fills count="18">
    <fill>
      <patternFill patternType="none"/>
    </fill>
    <fill>
      <patternFill patternType="lightGray"/>
    </fill>
    <fill>
      <patternFill patternType="solid">
        <fgColor rgb="FFDCF4E4"/>
        <bgColor rgb="FFDCF4E4"/>
      </patternFill>
    </fill>
    <fill>
      <patternFill patternType="solid">
        <fgColor rgb="FFFFFFFF"/>
        <bgColor rgb="FFFFFFFF"/>
      </patternFill>
    </fill>
    <fill>
      <patternFill patternType="solid">
        <fgColor rgb="FFF1CEEE"/>
        <bgColor rgb="FFF1CEEE"/>
      </patternFill>
    </fill>
    <fill>
      <patternFill patternType="solid">
        <fgColor rgb="FF2C8182"/>
        <bgColor rgb="FF2C8182"/>
      </patternFill>
    </fill>
    <fill>
      <patternFill patternType="solid">
        <fgColor rgb="FFE49EDD"/>
        <bgColor rgb="FFE49EDD"/>
      </patternFill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0ACABF"/>
        <bgColor rgb="FF0ACABF"/>
      </patternFill>
    </fill>
    <fill>
      <patternFill patternType="solid">
        <fgColor rgb="FFA0FDCA"/>
        <bgColor rgb="FFA0FDCA"/>
      </patternFill>
    </fill>
    <fill>
      <patternFill patternType="solid">
        <fgColor rgb="FFFF5E3E"/>
        <bgColor rgb="FFFF5E3E"/>
      </patternFill>
    </fill>
    <fill>
      <patternFill patternType="solid">
        <fgColor rgb="FFEDEDED"/>
        <bgColor rgb="FFEDEDED"/>
      </patternFill>
    </fill>
    <fill>
      <patternFill patternType="solid">
        <fgColor theme="1"/>
        <bgColor theme="1"/>
      </patternFill>
    </fill>
    <fill>
      <patternFill patternType="solid">
        <fgColor theme="7"/>
        <bgColor theme="7"/>
      </patternFill>
    </fill>
    <fill>
      <patternFill patternType="solid">
        <fgColor rgb="FF95DCF7"/>
        <bgColor rgb="FF95DCF7"/>
      </patternFill>
    </fill>
    <fill>
      <patternFill patternType="solid">
        <fgColor rgb="FF8ED873"/>
        <bgColor rgb="FF8ED873"/>
      </patternFill>
    </fill>
  </fills>
  <borders count="39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A5A5A5"/>
      </left>
      <right/>
      <top/>
    </border>
    <border>
      <left/>
      <right/>
    </border>
    <border>
      <left style="thin">
        <color rgb="FFA5A5A5"/>
      </left>
      <right/>
    </border>
    <border>
      <left style="thin">
        <color rgb="FF236767"/>
      </left>
      <right style="thin">
        <color rgb="FF236767"/>
      </right>
      <top style="thin">
        <color rgb="FF236767"/>
      </top>
      <bottom style="thin">
        <color rgb="FF236767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/>
      <right style="thin">
        <color rgb="FFA5A5A5"/>
      </right>
      <top/>
    </border>
    <border>
      <left/>
      <right style="thin">
        <color rgb="FFA5A5A5"/>
      </right>
    </border>
    <border>
      <left/>
      <right style="thin">
        <color rgb="FF000000"/>
      </right>
      <top style="thin">
        <color rgb="FF000000"/>
      </top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</border>
    <border>
      <left style="thin">
        <color rgb="FF000000"/>
      </left>
      <top style="thin">
        <color rgb="FFF6F8F9"/>
      </top>
    </border>
    <border>
      <left style="thin">
        <color rgb="FFF6F8F9"/>
      </left>
      <right style="thin">
        <color rgb="FF000000"/>
      </right>
      <top style="thin">
        <color rgb="FFF6F8F9"/>
      </top>
    </border>
    <border>
      <top style="thin">
        <color rgb="FFF6F8F9"/>
      </top>
    </border>
    <border>
      <left style="thin">
        <color rgb="FF000000"/>
      </left>
      <right style="thin">
        <color rgb="FF000000"/>
      </right>
      <top style="thin">
        <color rgb="FFF6F8F9"/>
      </top>
    </border>
    <border>
      <left style="thin">
        <color rgb="FFF6F8F9"/>
      </left>
      <top style="thin">
        <color rgb="FF000000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F6F8F9"/>
      </bottom>
    </border>
    <border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top style="thin">
        <color rgb="FFF6F8F9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F6F8F9"/>
      </top>
      <bottom style="thin">
        <color rgb="FF000000"/>
      </bottom>
    </border>
    <border>
      <left style="thin">
        <color rgb="FF000000"/>
      </lef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3" numFmtId="4" xfId="0" applyAlignment="1" applyBorder="1" applyFont="1" applyNumberFormat="1">
      <alignment horizontal="center" vertical="center"/>
    </xf>
    <xf borderId="3" fillId="2" fontId="3" numFmtId="0" xfId="0" applyAlignment="1" applyBorder="1" applyFont="1">
      <alignment horizontal="center" vertical="center"/>
    </xf>
    <xf borderId="3" fillId="3" fontId="3" numFmtId="0" xfId="0" applyBorder="1" applyFill="1" applyFont="1"/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left"/>
    </xf>
    <xf borderId="3" fillId="2" fontId="4" numFmtId="0" xfId="0" applyAlignment="1" applyBorder="1" applyFont="1">
      <alignment horizontal="center"/>
    </xf>
    <xf borderId="3" fillId="2" fontId="3" numFmtId="0" xfId="0" applyAlignment="1" applyBorder="1" applyFont="1">
      <alignment horizontal="center"/>
    </xf>
    <xf borderId="1" fillId="4" fontId="5" numFmtId="4" xfId="0" applyAlignment="1" applyBorder="1" applyFill="1" applyFont="1" applyNumberFormat="1">
      <alignment horizontal="center" vertical="center"/>
    </xf>
    <xf borderId="3" fillId="2" fontId="5" numFmtId="4" xfId="0" applyAlignment="1" applyBorder="1" applyFont="1" applyNumberFormat="1">
      <alignment horizontal="center" vertical="center"/>
    </xf>
    <xf borderId="4" fillId="5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vertical="center"/>
    </xf>
    <xf borderId="4" fillId="6" fontId="6" numFmtId="4" xfId="0" applyAlignment="1" applyBorder="1" applyFill="1" applyFont="1" applyNumberForma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4" fillId="3" fontId="3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7" numFmtId="0" xfId="0" applyAlignment="1" applyFont="1">
      <alignment horizontal="center" vertical="center"/>
    </xf>
    <xf borderId="3" fillId="7" fontId="7" numFmtId="164" xfId="0" applyAlignment="1" applyBorder="1" applyFill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8" fontId="8" numFmtId="164" xfId="0" applyAlignment="1" applyFill="1" applyFont="1" applyNumberFormat="1">
      <alignment horizontal="center" vertical="center"/>
    </xf>
    <xf borderId="3" fillId="8" fontId="7" numFmtId="164" xfId="0" applyAlignment="1" applyBorder="1" applyFont="1" applyNumberFormat="1">
      <alignment horizontal="center" vertical="center"/>
    </xf>
    <xf borderId="3" fillId="9" fontId="7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0" fillId="8" fontId="10" numFmtId="164" xfId="0" applyAlignment="1" applyFont="1" applyNumberFormat="1">
      <alignment horizontal="center" vertical="center"/>
    </xf>
    <xf borderId="3" fillId="9" fontId="7" numFmtId="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/>
    </xf>
    <xf borderId="0" fillId="0" fontId="12" numFmtId="164" xfId="0" applyAlignment="1" applyFont="1" applyNumberFormat="1">
      <alignment horizontal="center"/>
    </xf>
    <xf borderId="0" fillId="0" fontId="12" numFmtId="164" xfId="0" applyFont="1" applyNumberFormat="1"/>
    <xf borderId="0" fillId="0" fontId="12" numFmtId="0" xfId="0" applyAlignment="1" applyFont="1">
      <alignment horizontal="center"/>
    </xf>
    <xf borderId="0" fillId="0" fontId="11" numFmtId="164" xfId="0" applyFont="1" applyNumberFormat="1"/>
    <xf borderId="0" fillId="0" fontId="11" numFmtId="165" xfId="0" applyAlignment="1" applyFont="1" applyNumberFormat="1">
      <alignment horizontal="center"/>
    </xf>
    <xf borderId="0" fillId="0" fontId="11" numFmtId="164" xfId="0" applyAlignment="1" applyFont="1" applyNumberFormat="1">
      <alignment horizontal="center"/>
    </xf>
    <xf borderId="0" fillId="0" fontId="11" numFmtId="4" xfId="0" applyFont="1" applyNumberFormat="1"/>
    <xf borderId="3" fillId="2" fontId="13" numFmtId="0" xfId="0" applyBorder="1" applyFont="1"/>
    <xf borderId="8" fillId="2" fontId="10" numFmtId="0" xfId="0" applyAlignment="1" applyBorder="1" applyFont="1">
      <alignment horizontal="center" shrinkToFit="0" vertical="center" wrapText="1"/>
    </xf>
    <xf borderId="8" fillId="2" fontId="14" numFmtId="4" xfId="0" applyAlignment="1" applyBorder="1" applyFont="1" applyNumberFormat="1">
      <alignment horizontal="center" vertical="center"/>
    </xf>
    <xf borderId="9" fillId="9" fontId="3" numFmtId="0" xfId="0" applyBorder="1" applyFont="1"/>
    <xf borderId="3" fillId="9" fontId="15" numFmtId="0" xfId="0" applyBorder="1" applyFont="1"/>
    <xf borderId="3" fillId="9" fontId="3" numFmtId="0" xfId="0" applyBorder="1" applyFont="1"/>
    <xf borderId="10" fillId="9" fontId="3" numFmtId="0" xfId="0" applyBorder="1" applyFont="1"/>
    <xf borderId="3" fillId="2" fontId="3" numFmtId="0" xfId="0" applyBorder="1" applyFont="1"/>
    <xf borderId="10" fillId="2" fontId="3" numFmtId="0" xfId="0" applyAlignment="1" applyBorder="1" applyFont="1">
      <alignment horizontal="center" vertical="center"/>
    </xf>
    <xf borderId="3" fillId="9" fontId="16" numFmtId="0" xfId="0" applyAlignment="1" applyBorder="1" applyFont="1">
      <alignment horizontal="center"/>
    </xf>
    <xf borderId="4" fillId="5" fontId="17" numFmtId="0" xfId="0" applyAlignment="1" applyBorder="1" applyFont="1">
      <alignment horizontal="center" shrinkToFit="0" vertical="center" wrapText="1"/>
    </xf>
    <xf borderId="3" fillId="3" fontId="18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horizontal="center" shrinkToFit="0" vertical="center" wrapText="1"/>
    </xf>
    <xf borderId="4" fillId="10" fontId="19" numFmtId="0" xfId="0" applyAlignment="1" applyBorder="1" applyFill="1" applyFont="1">
      <alignment horizontal="center" vertical="center"/>
    </xf>
    <xf borderId="3" fillId="10" fontId="19" numFmtId="0" xfId="0" applyAlignment="1" applyBorder="1" applyFont="1">
      <alignment horizontal="center" shrinkToFit="0" vertical="center" wrapText="1"/>
    </xf>
    <xf borderId="4" fillId="11" fontId="20" numFmtId="0" xfId="0" applyAlignment="1" applyBorder="1" applyFill="1" applyFont="1">
      <alignment horizontal="center" shrinkToFit="0" vertical="center" wrapText="1"/>
    </xf>
    <xf borderId="3" fillId="12" fontId="6" numFmtId="0" xfId="0" applyAlignment="1" applyBorder="1" applyFill="1" applyFont="1">
      <alignment horizontal="center" vertical="center"/>
    </xf>
    <xf borderId="12" fillId="0" fontId="2" numFmtId="0" xfId="0" applyBorder="1" applyFont="1"/>
    <xf borderId="3" fillId="12" fontId="21" numFmtId="0" xfId="0" applyAlignment="1" applyBorder="1" applyFont="1">
      <alignment horizontal="center" shrinkToFit="0" vertical="center" wrapText="1"/>
    </xf>
    <xf borderId="3" fillId="13" fontId="7" numFmtId="0" xfId="0" applyAlignment="1" applyBorder="1" applyFill="1" applyFont="1">
      <alignment horizontal="center" vertical="center"/>
    </xf>
    <xf borderId="3" fillId="13" fontId="7" numFmtId="0" xfId="0" applyAlignment="1" applyBorder="1" applyFont="1">
      <alignment horizontal="left" vertical="center"/>
    </xf>
    <xf borderId="3" fillId="13" fontId="10" numFmtId="0" xfId="0" applyAlignment="1" applyBorder="1" applyFont="1">
      <alignment horizontal="center" vertical="center"/>
    </xf>
    <xf borderId="3" fillId="13" fontId="7" numFmtId="164" xfId="0" applyAlignment="1" applyBorder="1" applyFont="1" applyNumberFormat="1">
      <alignment horizontal="center" vertical="center"/>
    </xf>
    <xf borderId="3" fillId="13" fontId="7" numFmtId="3" xfId="0" applyAlignment="1" applyBorder="1" applyFont="1" applyNumberFormat="1">
      <alignment horizontal="center" vertical="center"/>
    </xf>
    <xf borderId="0" fillId="0" fontId="11" numFmtId="166" xfId="0" applyFont="1" applyNumberFormat="1"/>
    <xf borderId="0" fillId="0" fontId="7" numFmtId="0" xfId="0" applyAlignment="1" applyFont="1">
      <alignment horizontal="left" vertical="center"/>
    </xf>
    <xf borderId="3" fillId="3" fontId="3" numFmtId="4" xfId="0" applyBorder="1" applyFont="1" applyNumberFormat="1"/>
    <xf borderId="3" fillId="13" fontId="7" numFmtId="0" xfId="0" applyAlignment="1" applyBorder="1" applyFont="1">
      <alignment vertical="center"/>
    </xf>
    <xf borderId="3" fillId="13" fontId="7" numFmtId="165" xfId="0" applyAlignment="1" applyBorder="1" applyFont="1" applyNumberFormat="1">
      <alignment horizontal="left" vertical="center"/>
    </xf>
    <xf borderId="0" fillId="0" fontId="7" numFmtId="165" xfId="0" applyAlignment="1" applyFont="1" applyNumberFormat="1">
      <alignment horizontal="left" vertical="center"/>
    </xf>
    <xf borderId="0" fillId="0" fontId="11" numFmtId="0" xfId="0" applyAlignment="1" applyFont="1">
      <alignment horizontal="left"/>
    </xf>
    <xf borderId="3" fillId="14" fontId="11" numFmtId="0" xfId="0" applyBorder="1" applyFill="1" applyFont="1"/>
    <xf borderId="0" fillId="0" fontId="22" numFmtId="0" xfId="0" applyAlignment="1" applyFont="1">
      <alignment shrinkToFit="0" wrapText="1"/>
    </xf>
    <xf borderId="0" fillId="0" fontId="23" numFmtId="0" xfId="0" applyAlignment="1" applyFont="1">
      <alignment horizontal="center"/>
    </xf>
    <xf borderId="0" fillId="0" fontId="24" numFmtId="0" xfId="0" applyFont="1"/>
    <xf borderId="0" fillId="0" fontId="22" numFmtId="0" xfId="0" applyFont="1"/>
    <xf borderId="0" fillId="0" fontId="25" numFmtId="0" xfId="0" applyFont="1"/>
    <xf borderId="0" fillId="0" fontId="22" numFmtId="167" xfId="0" applyAlignment="1" applyFont="1" applyNumberFormat="1">
      <alignment readingOrder="0"/>
    </xf>
    <xf borderId="0" fillId="0" fontId="22" numFmtId="168" xfId="0" applyAlignment="1" applyFont="1" applyNumberFormat="1">
      <alignment readingOrder="0"/>
    </xf>
    <xf borderId="3" fillId="15" fontId="22" numFmtId="0" xfId="0" applyBorder="1" applyFill="1" applyFont="1"/>
    <xf borderId="0" fillId="0" fontId="22" numFmtId="169" xfId="0" applyAlignment="1" applyFont="1" applyNumberFormat="1">
      <alignment shrinkToFit="0" wrapText="1"/>
    </xf>
    <xf borderId="4" fillId="6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4" fillId="16" fontId="25" numFmtId="0" xfId="0" applyAlignment="1" applyBorder="1" applyFill="1" applyFont="1">
      <alignment horizontal="center"/>
    </xf>
    <xf borderId="0" fillId="0" fontId="26" numFmtId="0" xfId="0" applyAlignment="1" applyFont="1">
      <alignment horizontal="left" readingOrder="0" shrinkToFit="0" vertical="center" wrapText="1"/>
    </xf>
    <xf borderId="0" fillId="0" fontId="26" numFmtId="49" xfId="0" applyAlignment="1" applyFont="1" applyNumberFormat="1">
      <alignment horizontal="left" readingOrder="0" shrinkToFit="0" vertical="center" wrapText="0"/>
    </xf>
    <xf borderId="0" fillId="0" fontId="26" numFmtId="49" xfId="0" applyAlignment="1" applyFont="1" applyNumberFormat="1">
      <alignment horizontal="center" readingOrder="0" shrinkToFit="0" vertical="center" wrapText="0"/>
    </xf>
    <xf borderId="0" fillId="0" fontId="25" numFmtId="170" xfId="0" applyAlignment="1" applyFont="1" applyNumberFormat="1">
      <alignment horizontal="center" readingOrder="0" shrinkToFit="0" vertical="center" wrapText="0"/>
    </xf>
    <xf borderId="0" fillId="0" fontId="26" numFmtId="165" xfId="0" applyAlignment="1" applyFont="1" applyNumberFormat="1">
      <alignment horizontal="center" readingOrder="0" shrinkToFit="0" vertical="center" wrapText="0"/>
    </xf>
    <xf borderId="13" fillId="17" fontId="27" numFmtId="165" xfId="0" applyAlignment="1" applyBorder="1" applyFill="1" applyFont="1" applyNumberFormat="1">
      <alignment horizontal="center" vertical="center"/>
    </xf>
    <xf borderId="14" fillId="0" fontId="22" numFmtId="0" xfId="0" applyAlignment="1" applyBorder="1" applyFont="1">
      <alignment shrinkToFit="0" vertical="center" wrapText="0"/>
    </xf>
    <xf borderId="15" fillId="0" fontId="22" numFmtId="166" xfId="0" applyAlignment="1" applyBorder="1" applyFont="1" applyNumberFormat="1">
      <alignment shrinkToFit="0" vertical="center" wrapText="0"/>
    </xf>
    <xf borderId="16" fillId="0" fontId="22" numFmtId="166" xfId="0" applyAlignment="1" applyBorder="1" applyFont="1" applyNumberFormat="1">
      <alignment shrinkToFit="0" vertical="center" wrapText="0"/>
    </xf>
    <xf borderId="17" fillId="0" fontId="22" numFmtId="0" xfId="0" applyAlignment="1" applyBorder="1" applyFont="1">
      <alignment shrinkToFit="0" vertical="center" wrapText="0"/>
    </xf>
    <xf borderId="15" fillId="0" fontId="22" numFmtId="0" xfId="0" applyAlignment="1" applyBorder="1" applyFont="1">
      <alignment shrinkToFit="0" vertical="center" wrapText="0"/>
    </xf>
    <xf borderId="16" fillId="0" fontId="22" numFmtId="0" xfId="0" applyAlignment="1" applyBorder="1" applyFont="1">
      <alignment shrinkToFit="0" vertical="center" wrapText="0"/>
    </xf>
    <xf borderId="18" fillId="0" fontId="22" numFmtId="166" xfId="0" applyAlignment="1" applyBorder="1" applyFont="1" applyNumberFormat="1">
      <alignment shrinkToFit="0" vertical="center" wrapText="0"/>
    </xf>
    <xf borderId="17" fillId="0" fontId="22" numFmtId="166" xfId="0" applyAlignment="1" applyBorder="1" applyFont="1" applyNumberFormat="1">
      <alignment shrinkToFit="0" vertical="center" wrapText="0"/>
    </xf>
    <xf borderId="18" fillId="0" fontId="22" numFmtId="166" xfId="0" applyAlignment="1" applyBorder="1" applyFont="1" applyNumberFormat="1">
      <alignment vertical="center"/>
    </xf>
    <xf borderId="0" fillId="0" fontId="28" numFmtId="0" xfId="0" applyFont="1"/>
    <xf borderId="0" fillId="0" fontId="11" numFmtId="0" xfId="0" applyAlignment="1" applyFont="1">
      <alignment vertical="bottom"/>
    </xf>
    <xf borderId="19" fillId="0" fontId="22" numFmtId="0" xfId="0" applyAlignment="1" applyBorder="1" applyFont="1">
      <alignment shrinkToFit="0" vertical="center" wrapText="0"/>
    </xf>
    <xf borderId="20" fillId="0" fontId="22" numFmtId="166" xfId="0" applyAlignment="1" applyBorder="1" applyFont="1" applyNumberFormat="1">
      <alignment shrinkToFit="0" vertical="center" wrapText="0"/>
    </xf>
    <xf borderId="21" fillId="0" fontId="22" numFmtId="166" xfId="0" applyAlignment="1" applyBorder="1" applyFont="1" applyNumberFormat="1">
      <alignment shrinkToFit="0" vertical="center" wrapText="0"/>
    </xf>
    <xf borderId="22" fillId="0" fontId="22" numFmtId="0" xfId="0" applyAlignment="1" applyBorder="1" applyFont="1">
      <alignment shrinkToFit="0" vertical="center" wrapText="0"/>
    </xf>
    <xf borderId="20" fillId="0" fontId="22" numFmtId="0" xfId="0" applyAlignment="1" applyBorder="1" applyFont="1">
      <alignment shrinkToFit="0" vertical="center" wrapText="0"/>
    </xf>
    <xf borderId="21" fillId="0" fontId="22" numFmtId="0" xfId="0" applyAlignment="1" applyBorder="1" applyFont="1">
      <alignment shrinkToFit="0" vertical="center" wrapText="0"/>
    </xf>
    <xf borderId="23" fillId="0" fontId="22" numFmtId="166" xfId="0" applyAlignment="1" applyBorder="1" applyFont="1" applyNumberFormat="1">
      <alignment shrinkToFit="0" vertical="center" wrapText="0"/>
    </xf>
    <xf borderId="22" fillId="0" fontId="22" numFmtId="166" xfId="0" applyAlignment="1" applyBorder="1" applyFont="1" applyNumberFormat="1">
      <alignment shrinkToFit="0" vertical="center" wrapText="0"/>
    </xf>
    <xf borderId="23" fillId="0" fontId="22" numFmtId="0" xfId="0" applyAlignment="1" applyBorder="1" applyFont="1">
      <alignment vertical="center"/>
    </xf>
    <xf borderId="24" fillId="0" fontId="22" numFmtId="0" xfId="0" applyAlignment="1" applyBorder="1" applyFont="1">
      <alignment shrinkToFit="0" vertical="center" wrapText="0"/>
    </xf>
    <xf borderId="25" fillId="0" fontId="22" numFmtId="166" xfId="0" applyAlignment="1" applyBorder="1" applyFont="1" applyNumberFormat="1">
      <alignment shrinkToFit="0" vertical="center" wrapText="0"/>
    </xf>
    <xf borderId="26" fillId="0" fontId="22" numFmtId="166" xfId="0" applyAlignment="1" applyBorder="1" applyFont="1" applyNumberFormat="1">
      <alignment readingOrder="0" shrinkToFit="0" vertical="center" wrapText="0"/>
    </xf>
    <xf borderId="27" fillId="0" fontId="22" numFmtId="0" xfId="0" applyAlignment="1" applyBorder="1" applyFont="1">
      <alignment shrinkToFit="0" vertical="center" wrapText="0"/>
    </xf>
    <xf borderId="25" fillId="0" fontId="22" numFmtId="0" xfId="0" applyAlignment="1" applyBorder="1" applyFont="1">
      <alignment shrinkToFit="0" vertical="center" wrapText="0"/>
    </xf>
    <xf borderId="26" fillId="0" fontId="22" numFmtId="0" xfId="0" applyAlignment="1" applyBorder="1" applyFont="1">
      <alignment shrinkToFit="0" vertical="center" wrapText="0"/>
    </xf>
    <xf borderId="27" fillId="0" fontId="22" numFmtId="0" xfId="0" applyAlignment="1" applyBorder="1" applyFont="1">
      <alignment readingOrder="0" shrinkToFit="0" vertical="center" wrapText="0"/>
    </xf>
    <xf borderId="28" fillId="0" fontId="22" numFmtId="166" xfId="0" applyAlignment="1" applyBorder="1" applyFont="1" applyNumberFormat="1">
      <alignment shrinkToFit="0" vertical="center" wrapText="0"/>
    </xf>
    <xf borderId="27" fillId="0" fontId="22" numFmtId="166" xfId="0" applyAlignment="1" applyBorder="1" applyFont="1" applyNumberFormat="1">
      <alignment shrinkToFit="0" vertical="center" wrapText="0"/>
    </xf>
    <xf borderId="28" fillId="0" fontId="22" numFmtId="166" xfId="0" applyAlignment="1" applyBorder="1" applyFont="1" applyNumberFormat="1">
      <alignment vertical="center"/>
    </xf>
    <xf borderId="16" fillId="0" fontId="22" numFmtId="166" xfId="0" applyAlignment="1" applyBorder="1" applyFont="1" applyNumberFormat="1">
      <alignment readingOrder="0" shrinkToFit="0" vertical="center" wrapText="0"/>
    </xf>
    <xf borderId="17" fillId="0" fontId="22" numFmtId="0" xfId="0" applyAlignment="1" applyBorder="1" applyFont="1">
      <alignment readingOrder="0" shrinkToFit="0" vertical="center" wrapText="0"/>
    </xf>
    <xf borderId="14" fillId="0" fontId="22" numFmtId="0" xfId="0" applyAlignment="1" applyBorder="1" applyFont="1">
      <alignment readingOrder="0" shrinkToFit="0" vertical="center" wrapText="0"/>
    </xf>
    <xf borderId="18" fillId="0" fontId="22" numFmtId="0" xfId="0" applyAlignment="1" applyBorder="1" applyFont="1">
      <alignment vertical="center"/>
    </xf>
    <xf borderId="29" fillId="0" fontId="22" numFmtId="0" xfId="0" applyAlignment="1" applyBorder="1" applyFont="1">
      <alignment readingOrder="0" shrinkToFit="0" vertical="center" wrapText="1"/>
    </xf>
    <xf borderId="30" fillId="0" fontId="29" numFmtId="166" xfId="0" applyAlignment="1" applyBorder="1" applyFont="1" applyNumberFormat="1">
      <alignment shrinkToFit="0" vertical="center" wrapText="0"/>
    </xf>
    <xf borderId="31" fillId="0" fontId="22" numFmtId="166" xfId="0" applyAlignment="1" applyBorder="1" applyFont="1" applyNumberFormat="1">
      <alignment shrinkToFit="0" vertical="center" wrapText="0"/>
    </xf>
    <xf borderId="15" fillId="0" fontId="29" numFmtId="0" xfId="0" applyAlignment="1" applyBorder="1" applyFont="1">
      <alignment shrinkToFit="0" vertical="center" wrapText="0"/>
    </xf>
    <xf borderId="18" fillId="8" fontId="29" numFmtId="166" xfId="0" applyAlignment="1" applyBorder="1" applyFont="1" applyNumberFormat="1">
      <alignment shrinkToFit="0" vertical="center" wrapText="0"/>
    </xf>
    <xf borderId="17" fillId="8" fontId="22" numFmtId="166" xfId="0" applyAlignment="1" applyBorder="1" applyFont="1" applyNumberFormat="1">
      <alignment shrinkToFit="0" vertical="center" wrapText="0"/>
    </xf>
    <xf borderId="18" fillId="9" fontId="29" numFmtId="166" xfId="0" applyAlignment="1" applyBorder="1" applyFont="1" applyNumberFormat="1">
      <alignment vertical="center"/>
    </xf>
    <xf borderId="32" fillId="0" fontId="22" numFmtId="0" xfId="0" applyAlignment="1" applyBorder="1" applyFont="1">
      <alignment readingOrder="0" shrinkToFit="0" vertical="center" wrapText="1"/>
    </xf>
    <xf borderId="33" fillId="0" fontId="22" numFmtId="0" xfId="0" applyAlignment="1" applyBorder="1" applyFont="1">
      <alignment readingOrder="0" shrinkToFit="0" vertical="center" wrapText="0"/>
    </xf>
    <xf borderId="34" fillId="0" fontId="29" numFmtId="166" xfId="0" applyAlignment="1" applyBorder="1" applyFont="1" applyNumberFormat="1">
      <alignment shrinkToFit="0" vertical="center" wrapText="0"/>
    </xf>
    <xf borderId="35" fillId="0" fontId="22" numFmtId="166" xfId="0" applyAlignment="1" applyBorder="1" applyFont="1" applyNumberFormat="1">
      <alignment shrinkToFit="0" vertical="center" wrapText="0"/>
    </xf>
    <xf borderId="36" fillId="0" fontId="29" numFmtId="0" xfId="0" applyAlignment="1" applyBorder="1" applyFont="1">
      <alignment shrinkToFit="0" vertical="center" wrapText="0"/>
    </xf>
    <xf borderId="37" fillId="0" fontId="29" numFmtId="0" xfId="0" applyAlignment="1" applyBorder="1" applyFont="1">
      <alignment shrinkToFit="0" vertical="center" wrapText="0"/>
    </xf>
    <xf borderId="36" fillId="0" fontId="22" numFmtId="0" xfId="0" applyAlignment="1" applyBorder="1" applyFont="1">
      <alignment readingOrder="0" shrinkToFit="0" vertical="center" wrapText="0"/>
    </xf>
    <xf borderId="38" fillId="8" fontId="29" numFmtId="166" xfId="0" applyAlignment="1" applyBorder="1" applyFont="1" applyNumberFormat="1">
      <alignment shrinkToFit="0" vertical="center" wrapText="0"/>
    </xf>
    <xf borderId="36" fillId="8" fontId="22" numFmtId="166" xfId="0" applyAlignment="1" applyBorder="1" applyFont="1" applyNumberFormat="1">
      <alignment shrinkToFit="0" vertical="center" wrapText="0"/>
    </xf>
    <xf borderId="38" fillId="9" fontId="29" numFmtId="166" xfId="0" applyAlignment="1" applyBorder="1" applyFont="1" applyNumberFormat="1">
      <alignment vertical="center"/>
    </xf>
    <xf borderId="0" fillId="0" fontId="22" numFmtId="0" xfId="0" applyAlignment="1" applyFont="1">
      <alignment readingOrder="0" shrinkToFit="0" vertical="center" wrapText="0"/>
    </xf>
    <xf borderId="0" fillId="0" fontId="29" numFmtId="166" xfId="0" applyAlignment="1" applyFont="1" applyNumberFormat="1">
      <alignment shrinkToFit="0" vertical="center" wrapText="0"/>
    </xf>
    <xf borderId="0" fillId="0" fontId="22" numFmtId="166" xfId="0" applyAlignment="1" applyFont="1" applyNumberFormat="1">
      <alignment shrinkToFit="0" vertical="center" wrapText="0"/>
    </xf>
    <xf borderId="0" fillId="0" fontId="29" numFmtId="0" xfId="0" applyAlignment="1" applyFont="1">
      <alignment shrinkToFit="0" vertical="center" wrapText="0"/>
    </xf>
    <xf borderId="0" fillId="0" fontId="22" numFmtId="0" xfId="0" applyAlignment="1" applyFont="1">
      <alignment shrinkToFit="0" vertical="center" wrapText="0"/>
    </xf>
    <xf borderId="0" fillId="8" fontId="29" numFmtId="166" xfId="0" applyAlignment="1" applyFont="1" applyNumberFormat="1">
      <alignment shrinkToFit="0" vertical="center" wrapText="0"/>
    </xf>
    <xf borderId="0" fillId="8" fontId="22" numFmtId="166" xfId="0" applyAlignment="1" applyFont="1" applyNumberFormat="1">
      <alignment shrinkToFit="0" vertical="center" wrapText="0"/>
    </xf>
    <xf borderId="0" fillId="0" fontId="29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V26-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J29" displayName="Tableau1" name="Tableau1" id="1">
  <tableColumns count="10">
    <tableColumn name="Catégorie" id="1"/>
    <tableColumn name="Désignation" id="2"/>
    <tableColumn name="P.U achat" id="3"/>
    <tableColumn name="P.U vente" id="4"/>
    <tableColumn name="Colonne 1" id="5"/>
    <tableColumn name="Achat" id="6"/>
    <tableColumn name="Vendu" id="7"/>
    <tableColumn name="11/7/2026" id="8"/>
    <tableColumn name="Prix de revient" id="9"/>
    <tableColumn name="CA théorique" id="10"/>
  </tableColumns>
  <tableStyleInfo name="INV26-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E291"/>
    <pageSetUpPr/>
  </sheetPr>
  <sheetViews>
    <sheetView showGridLines="0" workbookViewId="0"/>
  </sheetViews>
  <sheetFormatPr customHeight="1" defaultColWidth="12.63" defaultRowHeight="15.0"/>
  <cols>
    <col customWidth="1" min="1" max="1" width="28.5"/>
    <col customWidth="1" min="2" max="2" width="18.5"/>
    <col customWidth="1" min="3" max="3" width="15.5"/>
    <col customWidth="1" min="4" max="4" width="14.75"/>
    <col customWidth="1" min="5" max="5" width="15.63"/>
    <col customWidth="1" min="6" max="7" width="11.5"/>
    <col customWidth="1" min="8" max="8" width="20.75"/>
    <col customWidth="1" min="9" max="9" width="15.25"/>
    <col customWidth="1" min="10" max="13" width="10.63"/>
    <col customWidth="1" min="14" max="14" width="14.75"/>
    <col customWidth="1" min="15" max="26" width="10.63"/>
  </cols>
  <sheetData>
    <row r="1" ht="14.25" customHeight="1">
      <c r="A1" s="1" t="s">
        <v>0</v>
      </c>
      <c r="B1" s="2"/>
      <c r="C1" s="2"/>
      <c r="D1" s="2"/>
      <c r="E1" s="2"/>
      <c r="F1" s="3"/>
      <c r="G1" s="3"/>
      <c r="H1" s="4"/>
      <c r="I1" s="4"/>
      <c r="J1" s="4"/>
      <c r="K1" s="4"/>
      <c r="L1" s="4"/>
      <c r="M1" s="4"/>
      <c r="N1" s="5"/>
    </row>
    <row r="2" ht="14.25" customHeight="1">
      <c r="A2" s="6"/>
      <c r="B2" s="7"/>
      <c r="C2" s="7"/>
      <c r="D2" s="7"/>
      <c r="E2" s="7"/>
      <c r="F2" s="3"/>
      <c r="G2" s="3"/>
      <c r="H2" s="4"/>
      <c r="I2" s="4"/>
      <c r="J2" s="4"/>
      <c r="K2" s="4"/>
      <c r="L2" s="4"/>
      <c r="M2" s="4"/>
      <c r="N2" s="5"/>
    </row>
    <row r="3" ht="15.0" customHeight="1">
      <c r="A3" s="6"/>
      <c r="B3" s="7"/>
      <c r="C3" s="8" t="s">
        <v>1</v>
      </c>
      <c r="D3" s="8" t="s">
        <v>2</v>
      </c>
      <c r="E3" s="8" t="s">
        <v>3</v>
      </c>
      <c r="F3" s="3"/>
      <c r="G3" s="3"/>
      <c r="H3" s="4"/>
      <c r="I3" s="4"/>
      <c r="J3" s="4"/>
      <c r="K3" s="4"/>
      <c r="L3" s="4"/>
      <c r="M3" s="4"/>
      <c r="N3" s="5"/>
    </row>
    <row r="4" ht="14.25" customHeight="1">
      <c r="A4" s="4"/>
      <c r="B4" s="9"/>
      <c r="C4" s="4"/>
      <c r="D4" s="10" t="s">
        <v>4</v>
      </c>
      <c r="E4" s="2"/>
      <c r="F4" s="2"/>
      <c r="G4" s="11"/>
      <c r="H4" s="4"/>
      <c r="I4" s="4"/>
      <c r="J4" s="4"/>
      <c r="K4" s="4"/>
      <c r="L4" s="4"/>
      <c r="M4" s="4"/>
      <c r="N4" s="5"/>
    </row>
    <row r="5" ht="35.25" customHeight="1">
      <c r="A5" s="12" t="s">
        <v>5</v>
      </c>
      <c r="B5" s="13" t="s">
        <v>6</v>
      </c>
      <c r="C5" s="12" t="s">
        <v>7</v>
      </c>
      <c r="D5" s="14" t="s">
        <v>8</v>
      </c>
      <c r="E5" s="15" t="s">
        <v>9</v>
      </c>
      <c r="F5" s="15" t="s">
        <v>10</v>
      </c>
      <c r="G5" s="12" t="s">
        <v>11</v>
      </c>
      <c r="H5" s="12" t="s">
        <v>12</v>
      </c>
      <c r="I5" s="16" t="s">
        <v>13</v>
      </c>
      <c r="J5" s="16"/>
      <c r="K5" s="16"/>
      <c r="L5" s="13"/>
      <c r="M5" s="12"/>
      <c r="N5" s="17"/>
    </row>
    <row r="6" ht="14.25" customHeight="1">
      <c r="A6" s="18"/>
      <c r="B6" s="18"/>
      <c r="C6" s="18"/>
      <c r="D6" s="18"/>
      <c r="E6" s="18"/>
      <c r="F6" s="18"/>
      <c r="G6" s="18"/>
      <c r="H6" s="18"/>
      <c r="I6" s="19"/>
      <c r="J6" s="19"/>
      <c r="K6" s="19"/>
      <c r="L6" s="18"/>
      <c r="M6" s="18"/>
      <c r="N6" s="18"/>
    </row>
    <row r="7" ht="15.0" customHeight="1">
      <c r="A7" s="20" t="s">
        <v>14</v>
      </c>
      <c r="B7" s="21"/>
      <c r="C7" s="21"/>
      <c r="D7" s="22">
        <v>23.72</v>
      </c>
      <c r="E7" s="22">
        <v>15.0</v>
      </c>
      <c r="F7" s="23">
        <f t="shared" ref="F7:F26" si="1">SUM(D7:E7)</f>
        <v>38.72</v>
      </c>
      <c r="G7" s="24"/>
      <c r="H7" s="25"/>
      <c r="I7" s="26" t="s">
        <v>15</v>
      </c>
      <c r="J7" s="20"/>
      <c r="K7" s="27"/>
      <c r="L7" s="22"/>
      <c r="M7" s="28"/>
      <c r="N7" s="5"/>
    </row>
    <row r="8" ht="14.25" customHeight="1">
      <c r="A8" s="20" t="s">
        <v>16</v>
      </c>
      <c r="B8" s="22">
        <v>44.05</v>
      </c>
      <c r="C8" s="22">
        <v>121.0</v>
      </c>
      <c r="D8" s="22">
        <v>92.4</v>
      </c>
      <c r="E8" s="22">
        <v>58.5</v>
      </c>
      <c r="F8" s="23">
        <f t="shared" si="1"/>
        <v>150.9</v>
      </c>
      <c r="G8" s="29">
        <f t="shared" ref="G8:G26" si="2">F8-B8</f>
        <v>106.85</v>
      </c>
      <c r="H8" s="30">
        <f t="shared" ref="H8:H26" si="3">F8-C8</f>
        <v>29.9</v>
      </c>
      <c r="I8" s="26" t="s">
        <v>17</v>
      </c>
      <c r="J8" s="20"/>
      <c r="K8" s="27"/>
      <c r="L8" s="22"/>
      <c r="M8" s="28"/>
      <c r="N8" s="5"/>
    </row>
    <row r="9" ht="14.25" customHeight="1">
      <c r="A9" s="31" t="s">
        <v>18</v>
      </c>
      <c r="B9" s="32">
        <v>55.32</v>
      </c>
      <c r="C9" s="33">
        <v>122.5</v>
      </c>
      <c r="D9" s="33">
        <v>67.7</v>
      </c>
      <c r="E9" s="33">
        <v>73.0</v>
      </c>
      <c r="F9" s="23">
        <f t="shared" si="1"/>
        <v>140.7</v>
      </c>
      <c r="G9" s="29">
        <f t="shared" si="2"/>
        <v>85.38</v>
      </c>
      <c r="H9" s="30">
        <f t="shared" si="3"/>
        <v>18.2</v>
      </c>
      <c r="I9" s="26" t="s">
        <v>19</v>
      </c>
    </row>
    <row r="10" ht="14.25" customHeight="1">
      <c r="A10" s="34" t="s">
        <v>20</v>
      </c>
      <c r="B10" s="32">
        <v>32.91</v>
      </c>
      <c r="C10" s="33">
        <v>74.5</v>
      </c>
      <c r="D10" s="35">
        <v>52.21</v>
      </c>
      <c r="E10" s="33">
        <v>37.0</v>
      </c>
      <c r="F10" s="23">
        <f t="shared" si="1"/>
        <v>89.21</v>
      </c>
      <c r="G10" s="29">
        <f t="shared" si="2"/>
        <v>56.3</v>
      </c>
      <c r="H10" s="30">
        <f t="shared" si="3"/>
        <v>14.71</v>
      </c>
      <c r="I10" s="26" t="s">
        <v>21</v>
      </c>
    </row>
    <row r="11" ht="14.25" customHeight="1">
      <c r="A11" s="34" t="s">
        <v>22</v>
      </c>
      <c r="B11" s="32">
        <v>26.83</v>
      </c>
      <c r="C11" s="33">
        <v>63.5</v>
      </c>
      <c r="D11" s="35">
        <v>21.34</v>
      </c>
      <c r="E11" s="33">
        <v>22.5</v>
      </c>
      <c r="F11" s="23">
        <f t="shared" si="1"/>
        <v>43.84</v>
      </c>
      <c r="G11" s="29">
        <f t="shared" si="2"/>
        <v>17.01</v>
      </c>
      <c r="H11" s="30">
        <f t="shared" si="3"/>
        <v>-19.66</v>
      </c>
      <c r="I11" s="26" t="s">
        <v>23</v>
      </c>
    </row>
    <row r="12" ht="14.25" customHeight="1">
      <c r="A12" s="34" t="s">
        <v>24</v>
      </c>
      <c r="B12" s="32">
        <v>29.61</v>
      </c>
      <c r="C12" s="33">
        <v>59.5</v>
      </c>
      <c r="D12" s="33">
        <v>23.25</v>
      </c>
      <c r="E12" s="33">
        <v>38.5</v>
      </c>
      <c r="F12" s="23">
        <f t="shared" si="1"/>
        <v>61.75</v>
      </c>
      <c r="G12" s="29">
        <f t="shared" si="2"/>
        <v>32.14</v>
      </c>
      <c r="H12" s="30">
        <f t="shared" si="3"/>
        <v>2.25</v>
      </c>
      <c r="I12" s="26" t="s">
        <v>25</v>
      </c>
    </row>
    <row r="13" ht="14.25" customHeight="1">
      <c r="A13" s="34" t="s">
        <v>26</v>
      </c>
      <c r="B13" s="32">
        <v>65.65</v>
      </c>
      <c r="C13" s="33">
        <v>122.0</v>
      </c>
      <c r="D13" s="33">
        <v>61.0</v>
      </c>
      <c r="E13" s="33">
        <v>78.5</v>
      </c>
      <c r="F13" s="23">
        <f t="shared" si="1"/>
        <v>139.5</v>
      </c>
      <c r="G13" s="29">
        <f t="shared" si="2"/>
        <v>73.85</v>
      </c>
      <c r="H13" s="30">
        <f t="shared" si="3"/>
        <v>17.5</v>
      </c>
      <c r="I13" s="26" t="s">
        <v>27</v>
      </c>
    </row>
    <row r="14" ht="14.25" customHeight="1">
      <c r="A14" s="34" t="s">
        <v>28</v>
      </c>
      <c r="B14" s="32">
        <v>0.0</v>
      </c>
      <c r="C14" s="33">
        <v>0.0</v>
      </c>
      <c r="D14" s="33">
        <v>0.0</v>
      </c>
      <c r="E14" s="33">
        <v>0.0</v>
      </c>
      <c r="F14" s="23">
        <f t="shared" si="1"/>
        <v>0</v>
      </c>
      <c r="G14" s="29">
        <f t="shared" si="2"/>
        <v>0</v>
      </c>
      <c r="H14" s="30">
        <f t="shared" si="3"/>
        <v>0</v>
      </c>
      <c r="I14" s="26" t="s">
        <v>29</v>
      </c>
    </row>
    <row r="15" ht="14.25" customHeight="1">
      <c r="A15" s="34" t="s">
        <v>30</v>
      </c>
      <c r="B15" s="32">
        <v>32.39</v>
      </c>
      <c r="C15" s="33">
        <v>54.5</v>
      </c>
      <c r="D15" s="33">
        <v>16.5</v>
      </c>
      <c r="E15" s="33">
        <v>41.0</v>
      </c>
      <c r="F15" s="23">
        <f t="shared" si="1"/>
        <v>57.5</v>
      </c>
      <c r="G15" s="29">
        <f t="shared" si="2"/>
        <v>25.11</v>
      </c>
      <c r="H15" s="30">
        <f t="shared" si="3"/>
        <v>3</v>
      </c>
      <c r="I15" s="26" t="s">
        <v>31</v>
      </c>
    </row>
    <row r="16" ht="14.25" customHeight="1">
      <c r="A16" s="34" t="s">
        <v>32</v>
      </c>
      <c r="B16" s="32">
        <v>36.91</v>
      </c>
      <c r="C16" s="33">
        <v>83.5</v>
      </c>
      <c r="D16" s="35">
        <v>26.94</v>
      </c>
      <c r="E16" s="33">
        <v>34.0</v>
      </c>
      <c r="F16" s="23">
        <f t="shared" si="1"/>
        <v>60.94</v>
      </c>
      <c r="G16" s="29">
        <f t="shared" si="2"/>
        <v>24.03</v>
      </c>
      <c r="H16" s="30">
        <f t="shared" si="3"/>
        <v>-22.56</v>
      </c>
      <c r="I16" s="26" t="s">
        <v>33</v>
      </c>
    </row>
    <row r="17" ht="14.25" customHeight="1">
      <c r="A17" s="34" t="s">
        <v>34</v>
      </c>
      <c r="B17" s="32">
        <v>34.02</v>
      </c>
      <c r="C17" s="33">
        <v>67.0</v>
      </c>
      <c r="D17" s="35">
        <v>18.17</v>
      </c>
      <c r="E17" s="33">
        <v>35.5</v>
      </c>
      <c r="F17" s="23">
        <f t="shared" si="1"/>
        <v>53.67</v>
      </c>
      <c r="G17" s="29">
        <f t="shared" si="2"/>
        <v>19.65</v>
      </c>
      <c r="H17" s="30">
        <f t="shared" si="3"/>
        <v>-13.33</v>
      </c>
      <c r="I17" s="26" t="s">
        <v>35</v>
      </c>
    </row>
    <row r="18" ht="14.25" customHeight="1">
      <c r="A18" s="34" t="s">
        <v>36</v>
      </c>
      <c r="B18" s="32">
        <v>25.04</v>
      </c>
      <c r="C18" s="33">
        <v>44.0</v>
      </c>
      <c r="D18" s="35">
        <v>17.8</v>
      </c>
      <c r="E18" s="33">
        <v>23.0</v>
      </c>
      <c r="F18" s="23">
        <f t="shared" si="1"/>
        <v>40.8</v>
      </c>
      <c r="G18" s="29">
        <f t="shared" si="2"/>
        <v>15.76</v>
      </c>
      <c r="H18" s="30">
        <f t="shared" si="3"/>
        <v>-3.2</v>
      </c>
      <c r="I18" s="26" t="s">
        <v>37</v>
      </c>
    </row>
    <row r="19" ht="14.25" customHeight="1">
      <c r="A19" s="34" t="s">
        <v>38</v>
      </c>
      <c r="B19" s="32">
        <v>46.48</v>
      </c>
      <c r="C19" s="33">
        <v>90.5</v>
      </c>
      <c r="D19" s="35">
        <v>21.4</v>
      </c>
      <c r="E19" s="33">
        <v>42.0</v>
      </c>
      <c r="F19" s="23">
        <f t="shared" si="1"/>
        <v>63.4</v>
      </c>
      <c r="G19" s="29">
        <f t="shared" si="2"/>
        <v>16.92</v>
      </c>
      <c r="H19" s="30">
        <f t="shared" si="3"/>
        <v>-27.1</v>
      </c>
      <c r="I19" s="26" t="s">
        <v>39</v>
      </c>
    </row>
    <row r="20" ht="14.25" customHeight="1">
      <c r="A20" s="34" t="s">
        <v>40</v>
      </c>
      <c r="B20" s="32">
        <v>102.3</v>
      </c>
      <c r="C20" s="33">
        <v>195.0</v>
      </c>
      <c r="D20" s="33">
        <v>84.2</v>
      </c>
      <c r="E20" s="33">
        <v>117.5</v>
      </c>
      <c r="F20" s="23">
        <f t="shared" si="1"/>
        <v>201.7</v>
      </c>
      <c r="G20" s="29">
        <f t="shared" si="2"/>
        <v>99.4</v>
      </c>
      <c r="H20" s="30">
        <f t="shared" si="3"/>
        <v>6.7</v>
      </c>
      <c r="I20" s="26" t="s">
        <v>41</v>
      </c>
    </row>
    <row r="21" ht="14.25" customHeight="1">
      <c r="A21" s="34" t="s">
        <v>42</v>
      </c>
      <c r="B21" s="32">
        <v>38.8</v>
      </c>
      <c r="C21" s="33">
        <v>70.5</v>
      </c>
      <c r="D21" s="35">
        <v>39.6</v>
      </c>
      <c r="E21" s="33">
        <v>24.5</v>
      </c>
      <c r="F21" s="23">
        <f t="shared" si="1"/>
        <v>64.1</v>
      </c>
      <c r="G21" s="29">
        <f t="shared" si="2"/>
        <v>25.3</v>
      </c>
      <c r="H21" s="30">
        <f t="shared" si="3"/>
        <v>-6.4</v>
      </c>
      <c r="I21" s="26" t="s">
        <v>43</v>
      </c>
    </row>
    <row r="22" ht="14.25" customHeight="1">
      <c r="A22" s="36"/>
      <c r="B22" s="37"/>
      <c r="C22" s="35"/>
      <c r="D22" s="35"/>
      <c r="E22" s="35"/>
      <c r="F22" s="23">
        <f t="shared" si="1"/>
        <v>0</v>
      </c>
      <c r="G22" s="29">
        <f t="shared" si="2"/>
        <v>0</v>
      </c>
      <c r="H22" s="30">
        <f t="shared" si="3"/>
        <v>0</v>
      </c>
    </row>
    <row r="23" ht="14.25" customHeight="1">
      <c r="A23" s="36"/>
      <c r="B23" s="37"/>
      <c r="C23" s="35"/>
      <c r="D23" s="35"/>
      <c r="E23" s="35"/>
      <c r="F23" s="23">
        <f t="shared" si="1"/>
        <v>0</v>
      </c>
      <c r="G23" s="29">
        <f t="shared" si="2"/>
        <v>0</v>
      </c>
      <c r="H23" s="30">
        <f t="shared" si="3"/>
        <v>0</v>
      </c>
    </row>
    <row r="24" ht="14.25" customHeight="1">
      <c r="A24" s="36"/>
      <c r="B24" s="37"/>
      <c r="C24" s="35"/>
      <c r="D24" s="35"/>
      <c r="E24" s="35"/>
      <c r="F24" s="23">
        <f t="shared" si="1"/>
        <v>0</v>
      </c>
      <c r="G24" s="29">
        <f t="shared" si="2"/>
        <v>0</v>
      </c>
      <c r="H24" s="30">
        <f t="shared" si="3"/>
        <v>0</v>
      </c>
    </row>
    <row r="25" ht="14.25" customHeight="1">
      <c r="A25" s="36"/>
      <c r="B25" s="37"/>
      <c r="C25" s="35"/>
      <c r="D25" s="35"/>
      <c r="E25" s="35"/>
      <c r="F25" s="23">
        <f t="shared" si="1"/>
        <v>0</v>
      </c>
      <c r="G25" s="29">
        <f t="shared" si="2"/>
        <v>0</v>
      </c>
      <c r="H25" s="30">
        <f t="shared" si="3"/>
        <v>0</v>
      </c>
    </row>
    <row r="26" ht="14.25" customHeight="1">
      <c r="A26" s="36"/>
      <c r="B26" s="37"/>
      <c r="C26" s="35"/>
      <c r="D26" s="35"/>
      <c r="E26" s="35"/>
      <c r="F26" s="23">
        <f t="shared" si="1"/>
        <v>0</v>
      </c>
      <c r="G26" s="29">
        <f t="shared" si="2"/>
        <v>0</v>
      </c>
      <c r="H26" s="30">
        <f t="shared" si="3"/>
        <v>0</v>
      </c>
    </row>
    <row r="27" ht="14.25" customHeight="1">
      <c r="A27" s="36"/>
      <c r="B27" s="31"/>
      <c r="D27" s="38"/>
      <c r="E27" s="38"/>
      <c r="F27" s="38"/>
      <c r="G27" s="38"/>
    </row>
    <row r="28" ht="14.25" customHeight="1">
      <c r="A28" s="36"/>
      <c r="B28" s="31"/>
      <c r="D28" s="38"/>
      <c r="E28" s="38"/>
      <c r="F28" s="38"/>
      <c r="G28" s="38"/>
    </row>
    <row r="29" ht="14.25" customHeight="1">
      <c r="A29" s="36"/>
      <c r="B29" s="31"/>
      <c r="D29" s="38"/>
      <c r="E29" s="38"/>
      <c r="F29" s="38"/>
      <c r="G29" s="38"/>
    </row>
    <row r="30" ht="14.25" customHeight="1">
      <c r="A30" s="36"/>
      <c r="B30" s="31"/>
      <c r="D30" s="38"/>
      <c r="E30" s="38"/>
      <c r="F30" s="38"/>
      <c r="G30" s="38"/>
    </row>
    <row r="31" ht="14.25" customHeight="1">
      <c r="A31" s="36"/>
      <c r="B31" s="31"/>
      <c r="D31" s="38"/>
      <c r="E31" s="38"/>
      <c r="F31" s="38"/>
      <c r="G31" s="38"/>
    </row>
    <row r="32" ht="14.25" customHeight="1">
      <c r="A32" s="36"/>
      <c r="B32" s="31"/>
      <c r="D32" s="38"/>
      <c r="E32" s="38"/>
      <c r="F32" s="38"/>
      <c r="G32" s="38"/>
    </row>
    <row r="33" ht="14.25" customHeight="1">
      <c r="A33" s="36"/>
      <c r="B33" s="31"/>
      <c r="D33" s="38"/>
      <c r="E33" s="38"/>
      <c r="F33" s="38"/>
      <c r="G33" s="38"/>
    </row>
    <row r="34" ht="14.25" customHeight="1">
      <c r="A34" s="36"/>
      <c r="B34" s="31"/>
      <c r="D34" s="38"/>
      <c r="E34" s="38"/>
      <c r="F34" s="38"/>
      <c r="G34" s="38"/>
    </row>
    <row r="35" ht="14.25" customHeight="1">
      <c r="A35" s="36"/>
      <c r="B35" s="31"/>
      <c r="D35" s="38"/>
      <c r="E35" s="38"/>
      <c r="F35" s="38"/>
      <c r="G35" s="38"/>
    </row>
    <row r="36" ht="14.25" customHeight="1">
      <c r="A36" s="36"/>
      <c r="B36" s="31"/>
      <c r="D36" s="38"/>
      <c r="E36" s="38"/>
      <c r="F36" s="38"/>
      <c r="G36" s="38"/>
    </row>
    <row r="37" ht="14.25" customHeight="1">
      <c r="A37" s="36"/>
      <c r="B37" s="31"/>
      <c r="D37" s="38"/>
      <c r="E37" s="38"/>
      <c r="F37" s="38"/>
      <c r="G37" s="38"/>
    </row>
    <row r="38" ht="14.25" customHeight="1">
      <c r="A38" s="36"/>
      <c r="B38" s="31"/>
      <c r="D38" s="38"/>
      <c r="E38" s="38"/>
      <c r="F38" s="38"/>
      <c r="G38" s="38"/>
    </row>
    <row r="39" ht="14.25" customHeight="1">
      <c r="A39" s="36"/>
      <c r="B39" s="31"/>
      <c r="D39" s="38"/>
      <c r="E39" s="38"/>
      <c r="F39" s="38"/>
      <c r="G39" s="38"/>
    </row>
    <row r="40" ht="14.25" customHeight="1">
      <c r="A40" s="36"/>
      <c r="B40" s="31"/>
      <c r="D40" s="38"/>
      <c r="E40" s="38"/>
      <c r="F40" s="38"/>
      <c r="G40" s="38"/>
    </row>
    <row r="41" ht="14.25" customHeight="1">
      <c r="A41" s="36"/>
      <c r="B41" s="31"/>
      <c r="D41" s="38"/>
      <c r="E41" s="38"/>
      <c r="F41" s="38"/>
      <c r="G41" s="38"/>
    </row>
    <row r="42" ht="14.25" customHeight="1">
      <c r="A42" s="36"/>
      <c r="B42" s="31"/>
      <c r="D42" s="38"/>
      <c r="E42" s="38"/>
      <c r="F42" s="38"/>
      <c r="G42" s="38"/>
    </row>
    <row r="43" ht="14.25" customHeight="1">
      <c r="A43" s="36"/>
      <c r="B43" s="31"/>
      <c r="D43" s="38"/>
      <c r="E43" s="38"/>
      <c r="F43" s="38"/>
      <c r="G43" s="38"/>
    </row>
    <row r="44" ht="14.25" customHeight="1">
      <c r="A44" s="36"/>
      <c r="B44" s="31"/>
      <c r="D44" s="38"/>
      <c r="E44" s="38"/>
      <c r="F44" s="38"/>
      <c r="G44" s="38"/>
    </row>
    <row r="45" ht="14.25" customHeight="1">
      <c r="A45" s="36"/>
      <c r="B45" s="31"/>
      <c r="D45" s="38"/>
      <c r="E45" s="38"/>
      <c r="F45" s="38"/>
      <c r="G45" s="38"/>
    </row>
    <row r="46" ht="14.25" customHeight="1">
      <c r="A46" s="36"/>
      <c r="B46" s="31"/>
      <c r="D46" s="38"/>
      <c r="E46" s="38"/>
      <c r="F46" s="38"/>
      <c r="G46" s="38"/>
    </row>
    <row r="47" ht="14.25" customHeight="1">
      <c r="A47" s="36"/>
      <c r="B47" s="31"/>
      <c r="D47" s="38"/>
      <c r="E47" s="38"/>
      <c r="F47" s="38"/>
      <c r="G47" s="38"/>
    </row>
    <row r="48" ht="14.25" customHeight="1">
      <c r="A48" s="36"/>
      <c r="B48" s="31"/>
      <c r="D48" s="38"/>
      <c r="E48" s="38"/>
      <c r="F48" s="38"/>
      <c r="G48" s="38"/>
    </row>
    <row r="49" ht="14.25" customHeight="1">
      <c r="A49" s="36"/>
      <c r="B49" s="31"/>
      <c r="D49" s="38"/>
      <c r="E49" s="38"/>
      <c r="F49" s="38"/>
      <c r="G49" s="38"/>
    </row>
    <row r="50" ht="14.25" customHeight="1">
      <c r="A50" s="36"/>
      <c r="B50" s="31"/>
      <c r="D50" s="38"/>
      <c r="E50" s="38"/>
      <c r="F50" s="38"/>
      <c r="G50" s="38"/>
    </row>
    <row r="51" ht="14.25" customHeight="1">
      <c r="A51" s="36"/>
      <c r="B51" s="31"/>
      <c r="D51" s="38"/>
      <c r="E51" s="38"/>
      <c r="F51" s="38"/>
      <c r="G51" s="38"/>
    </row>
    <row r="52" ht="14.25" customHeight="1">
      <c r="A52" s="36"/>
      <c r="B52" s="31"/>
      <c r="D52" s="38"/>
      <c r="E52" s="38"/>
      <c r="F52" s="38"/>
      <c r="G52" s="38"/>
    </row>
    <row r="53" ht="14.25" customHeight="1">
      <c r="A53" s="36"/>
      <c r="B53" s="31"/>
      <c r="D53" s="38"/>
      <c r="E53" s="38"/>
      <c r="F53" s="38"/>
      <c r="G53" s="38"/>
    </row>
    <row r="54" ht="14.25" customHeight="1">
      <c r="A54" s="36"/>
      <c r="B54" s="31"/>
      <c r="D54" s="38"/>
      <c r="E54" s="38"/>
      <c r="F54" s="38"/>
      <c r="G54" s="38"/>
    </row>
    <row r="55" ht="14.25" customHeight="1">
      <c r="A55" s="36"/>
      <c r="B55" s="31"/>
      <c r="D55" s="38"/>
      <c r="E55" s="38"/>
      <c r="F55" s="38"/>
      <c r="G55" s="38"/>
    </row>
    <row r="56" ht="14.25" customHeight="1">
      <c r="A56" s="36"/>
      <c r="B56" s="31"/>
      <c r="D56" s="38"/>
      <c r="E56" s="38"/>
      <c r="F56" s="38"/>
      <c r="G56" s="38"/>
    </row>
    <row r="57" ht="14.25" customHeight="1">
      <c r="A57" s="36"/>
      <c r="B57" s="31"/>
      <c r="D57" s="38"/>
      <c r="E57" s="38"/>
      <c r="F57" s="38"/>
      <c r="G57" s="38"/>
    </row>
    <row r="58" ht="14.25" customHeight="1">
      <c r="A58" s="36"/>
      <c r="B58" s="31"/>
      <c r="D58" s="38"/>
      <c r="E58" s="38"/>
      <c r="F58" s="38"/>
      <c r="G58" s="38"/>
    </row>
    <row r="59" ht="14.25" customHeight="1">
      <c r="A59" s="36"/>
      <c r="B59" s="31"/>
      <c r="D59" s="38"/>
      <c r="E59" s="38"/>
      <c r="F59" s="38"/>
      <c r="G59" s="38"/>
    </row>
    <row r="60" ht="14.25" customHeight="1">
      <c r="A60" s="36"/>
      <c r="B60" s="31"/>
      <c r="D60" s="38"/>
      <c r="E60" s="38"/>
      <c r="F60" s="38"/>
      <c r="G60" s="38"/>
    </row>
    <row r="61" ht="14.25" customHeight="1">
      <c r="A61" s="36"/>
      <c r="B61" s="31"/>
      <c r="D61" s="38"/>
      <c r="E61" s="38"/>
      <c r="F61" s="38"/>
      <c r="G61" s="38"/>
    </row>
    <row r="62" ht="14.25" customHeight="1">
      <c r="A62" s="36"/>
      <c r="B62" s="31"/>
      <c r="D62" s="38"/>
      <c r="E62" s="38"/>
      <c r="F62" s="38"/>
      <c r="G62" s="38"/>
    </row>
    <row r="63" ht="14.25" customHeight="1">
      <c r="A63" s="36"/>
      <c r="B63" s="31"/>
      <c r="D63" s="38"/>
      <c r="E63" s="38"/>
      <c r="F63" s="38"/>
      <c r="G63" s="38"/>
    </row>
    <row r="64" ht="14.25" customHeight="1">
      <c r="A64" s="36"/>
      <c r="B64" s="31"/>
      <c r="D64" s="38"/>
      <c r="E64" s="38"/>
      <c r="F64" s="38"/>
      <c r="G64" s="38"/>
    </row>
    <row r="65" ht="14.25" customHeight="1">
      <c r="A65" s="36"/>
      <c r="B65" s="31"/>
      <c r="D65" s="38"/>
      <c r="E65" s="38"/>
      <c r="F65" s="38"/>
      <c r="G65" s="38"/>
    </row>
    <row r="66" ht="14.25" customHeight="1">
      <c r="A66" s="36"/>
      <c r="B66" s="31"/>
      <c r="D66" s="38"/>
      <c r="E66" s="38"/>
      <c r="F66" s="38"/>
      <c r="G66" s="38"/>
    </row>
    <row r="67" ht="14.25" customHeight="1">
      <c r="A67" s="36"/>
      <c r="B67" s="31"/>
      <c r="D67" s="38"/>
      <c r="E67" s="38"/>
      <c r="F67" s="38"/>
      <c r="G67" s="38"/>
    </row>
    <row r="68" ht="14.25" customHeight="1">
      <c r="A68" s="36"/>
      <c r="B68" s="31"/>
      <c r="D68" s="38"/>
      <c r="E68" s="38"/>
      <c r="F68" s="38"/>
      <c r="G68" s="38"/>
    </row>
    <row r="69" ht="14.25" customHeight="1">
      <c r="A69" s="36"/>
      <c r="B69" s="31"/>
      <c r="D69" s="38"/>
      <c r="E69" s="38"/>
      <c r="F69" s="38"/>
      <c r="G69" s="38"/>
    </row>
    <row r="70" ht="14.25" customHeight="1">
      <c r="A70" s="36"/>
      <c r="B70" s="31"/>
      <c r="D70" s="38"/>
      <c r="E70" s="38"/>
      <c r="F70" s="38"/>
      <c r="G70" s="38"/>
    </row>
    <row r="71" ht="14.25" customHeight="1">
      <c r="A71" s="36"/>
      <c r="B71" s="31"/>
      <c r="D71" s="38"/>
      <c r="E71" s="38"/>
      <c r="F71" s="38"/>
      <c r="G71" s="38"/>
    </row>
    <row r="72" ht="14.25" customHeight="1">
      <c r="A72" s="36"/>
      <c r="B72" s="31"/>
      <c r="D72" s="38"/>
      <c r="E72" s="38"/>
      <c r="F72" s="38"/>
      <c r="G72" s="38"/>
    </row>
    <row r="73" ht="14.25" customHeight="1">
      <c r="A73" s="36"/>
      <c r="B73" s="31"/>
      <c r="D73" s="38"/>
      <c r="E73" s="38"/>
      <c r="F73" s="38"/>
      <c r="G73" s="38"/>
    </row>
    <row r="74" ht="14.25" customHeight="1">
      <c r="A74" s="36"/>
      <c r="B74" s="31"/>
      <c r="D74" s="38"/>
      <c r="E74" s="38"/>
      <c r="F74" s="38"/>
      <c r="G74" s="38"/>
    </row>
    <row r="75" ht="14.25" customHeight="1">
      <c r="A75" s="36"/>
      <c r="B75" s="31"/>
      <c r="D75" s="38"/>
      <c r="E75" s="38"/>
      <c r="F75" s="38"/>
      <c r="G75" s="38"/>
    </row>
    <row r="76" ht="14.25" customHeight="1">
      <c r="A76" s="36"/>
      <c r="B76" s="31"/>
      <c r="D76" s="38"/>
      <c r="E76" s="38"/>
      <c r="F76" s="38"/>
      <c r="G76" s="38"/>
    </row>
    <row r="77" ht="14.25" customHeight="1">
      <c r="A77" s="36"/>
      <c r="B77" s="31"/>
      <c r="D77" s="38"/>
      <c r="E77" s="38"/>
      <c r="F77" s="38"/>
      <c r="G77" s="38"/>
    </row>
    <row r="78" ht="14.25" customHeight="1">
      <c r="A78" s="36"/>
      <c r="B78" s="31"/>
      <c r="D78" s="38"/>
      <c r="E78" s="38"/>
      <c r="F78" s="38"/>
      <c r="G78" s="38"/>
    </row>
    <row r="79" ht="14.25" customHeight="1">
      <c r="A79" s="36"/>
      <c r="B79" s="31"/>
      <c r="D79" s="38"/>
      <c r="E79" s="38"/>
      <c r="F79" s="38"/>
      <c r="G79" s="38"/>
    </row>
    <row r="80" ht="14.25" customHeight="1">
      <c r="A80" s="36"/>
      <c r="B80" s="31"/>
      <c r="D80" s="38"/>
      <c r="E80" s="38"/>
      <c r="F80" s="38"/>
      <c r="G80" s="38"/>
    </row>
    <row r="81" ht="14.25" customHeight="1">
      <c r="A81" s="36"/>
      <c r="B81" s="31"/>
      <c r="D81" s="38"/>
      <c r="E81" s="38"/>
      <c r="F81" s="38"/>
      <c r="G81" s="38"/>
    </row>
    <row r="82" ht="14.25" customHeight="1">
      <c r="A82" s="36"/>
      <c r="B82" s="31"/>
      <c r="D82" s="38"/>
      <c r="E82" s="38"/>
      <c r="F82" s="38"/>
      <c r="G82" s="38"/>
    </row>
    <row r="83" ht="14.25" customHeight="1">
      <c r="A83" s="36"/>
      <c r="B83" s="31"/>
      <c r="D83" s="38"/>
      <c r="E83" s="38"/>
      <c r="F83" s="38"/>
      <c r="G83" s="38"/>
    </row>
    <row r="84" ht="14.25" customHeight="1">
      <c r="A84" s="36"/>
      <c r="B84" s="31"/>
      <c r="D84" s="38"/>
      <c r="E84" s="38"/>
      <c r="F84" s="38"/>
      <c r="G84" s="38"/>
    </row>
    <row r="85" ht="14.25" customHeight="1">
      <c r="A85" s="36"/>
      <c r="B85" s="31"/>
      <c r="D85" s="38"/>
      <c r="E85" s="38"/>
      <c r="F85" s="38"/>
      <c r="G85" s="38"/>
    </row>
    <row r="86" ht="14.25" customHeight="1">
      <c r="A86" s="36"/>
      <c r="B86" s="31"/>
      <c r="D86" s="38"/>
      <c r="E86" s="38"/>
      <c r="F86" s="38"/>
      <c r="G86" s="38"/>
    </row>
    <row r="87" ht="14.25" customHeight="1">
      <c r="A87" s="36"/>
      <c r="B87" s="31"/>
      <c r="D87" s="38"/>
      <c r="E87" s="38"/>
      <c r="F87" s="38"/>
      <c r="G87" s="38"/>
    </row>
    <row r="88" ht="14.25" customHeight="1">
      <c r="A88" s="36"/>
      <c r="B88" s="31"/>
      <c r="D88" s="38"/>
      <c r="E88" s="38"/>
      <c r="F88" s="38"/>
      <c r="G88" s="38"/>
    </row>
    <row r="89" ht="14.25" customHeight="1">
      <c r="A89" s="36"/>
      <c r="B89" s="31"/>
      <c r="D89" s="38"/>
      <c r="E89" s="38"/>
      <c r="F89" s="38"/>
      <c r="G89" s="38"/>
    </row>
    <row r="90" ht="14.25" customHeight="1">
      <c r="A90" s="36"/>
      <c r="B90" s="31"/>
      <c r="D90" s="38"/>
      <c r="E90" s="38"/>
      <c r="F90" s="38"/>
      <c r="G90" s="38"/>
    </row>
    <row r="91" ht="14.25" customHeight="1">
      <c r="A91" s="36"/>
      <c r="B91" s="31"/>
      <c r="D91" s="38"/>
      <c r="E91" s="38"/>
      <c r="F91" s="38"/>
      <c r="G91" s="38"/>
    </row>
    <row r="92" ht="14.25" customHeight="1">
      <c r="A92" s="36"/>
      <c r="B92" s="31"/>
      <c r="D92" s="38"/>
      <c r="E92" s="38"/>
      <c r="F92" s="38"/>
      <c r="G92" s="38"/>
    </row>
    <row r="93" ht="14.25" customHeight="1">
      <c r="A93" s="36"/>
      <c r="B93" s="31"/>
      <c r="D93" s="38"/>
      <c r="E93" s="38"/>
      <c r="F93" s="38"/>
      <c r="G93" s="38"/>
    </row>
    <row r="94" ht="14.25" customHeight="1">
      <c r="A94" s="36"/>
      <c r="B94" s="31"/>
      <c r="D94" s="38"/>
      <c r="E94" s="38"/>
      <c r="F94" s="38"/>
      <c r="G94" s="38"/>
    </row>
    <row r="95" ht="14.25" customHeight="1">
      <c r="A95" s="36"/>
      <c r="B95" s="31"/>
      <c r="D95" s="38"/>
      <c r="E95" s="38"/>
      <c r="F95" s="38"/>
      <c r="G95" s="38"/>
    </row>
    <row r="96" ht="14.25" customHeight="1">
      <c r="A96" s="36"/>
      <c r="B96" s="31"/>
      <c r="D96" s="38"/>
      <c r="E96" s="38"/>
      <c r="F96" s="38"/>
      <c r="G96" s="38"/>
    </row>
    <row r="97" ht="14.25" customHeight="1">
      <c r="A97" s="36"/>
      <c r="B97" s="31"/>
      <c r="D97" s="38"/>
      <c r="E97" s="38"/>
      <c r="F97" s="38"/>
      <c r="G97" s="38"/>
    </row>
    <row r="98" ht="14.25" customHeight="1">
      <c r="A98" s="36"/>
      <c r="B98" s="31"/>
      <c r="D98" s="38"/>
      <c r="E98" s="38"/>
      <c r="F98" s="38"/>
      <c r="G98" s="38"/>
    </row>
    <row r="99" ht="14.25" customHeight="1">
      <c r="A99" s="36"/>
      <c r="B99" s="31"/>
      <c r="D99" s="38"/>
      <c r="E99" s="38"/>
      <c r="F99" s="38"/>
      <c r="G99" s="38"/>
    </row>
    <row r="100" ht="14.25" customHeight="1">
      <c r="A100" s="36"/>
      <c r="B100" s="31"/>
      <c r="D100" s="38"/>
      <c r="E100" s="38"/>
      <c r="F100" s="38"/>
      <c r="G100" s="38"/>
    </row>
    <row r="101" ht="14.25" customHeight="1">
      <c r="A101" s="36"/>
      <c r="B101" s="31"/>
      <c r="D101" s="38"/>
      <c r="E101" s="38"/>
      <c r="F101" s="38"/>
      <c r="G101" s="38"/>
    </row>
    <row r="102" ht="14.25" customHeight="1">
      <c r="A102" s="36"/>
      <c r="B102" s="31"/>
      <c r="D102" s="38"/>
      <c r="E102" s="38"/>
      <c r="F102" s="38"/>
      <c r="G102" s="38"/>
    </row>
    <row r="103" ht="14.25" customHeight="1">
      <c r="A103" s="36"/>
      <c r="B103" s="31"/>
      <c r="D103" s="38"/>
      <c r="E103" s="38"/>
      <c r="F103" s="38"/>
      <c r="G103" s="38"/>
    </row>
    <row r="104" ht="14.25" customHeight="1">
      <c r="A104" s="36"/>
      <c r="B104" s="31"/>
      <c r="D104" s="38"/>
      <c r="E104" s="38"/>
      <c r="F104" s="38"/>
      <c r="G104" s="38"/>
    </row>
    <row r="105" ht="14.25" customHeight="1">
      <c r="A105" s="36"/>
      <c r="B105" s="31"/>
      <c r="D105" s="38"/>
      <c r="E105" s="38"/>
      <c r="F105" s="38"/>
      <c r="G105" s="38"/>
    </row>
    <row r="106" ht="14.25" customHeight="1">
      <c r="A106" s="36"/>
      <c r="B106" s="31"/>
      <c r="D106" s="38"/>
      <c r="E106" s="38"/>
      <c r="F106" s="38"/>
      <c r="G106" s="38"/>
    </row>
    <row r="107" ht="14.25" customHeight="1">
      <c r="A107" s="36"/>
      <c r="B107" s="31"/>
      <c r="D107" s="38"/>
      <c r="E107" s="38"/>
      <c r="F107" s="38"/>
      <c r="G107" s="38"/>
    </row>
    <row r="108" ht="14.25" customHeight="1">
      <c r="A108" s="36"/>
      <c r="B108" s="31"/>
      <c r="D108" s="38"/>
      <c r="E108" s="38"/>
      <c r="F108" s="38"/>
      <c r="G108" s="38"/>
    </row>
    <row r="109" ht="14.25" customHeight="1">
      <c r="A109" s="36"/>
      <c r="B109" s="31"/>
      <c r="D109" s="38"/>
      <c r="E109" s="38"/>
      <c r="F109" s="38"/>
      <c r="G109" s="38"/>
    </row>
    <row r="110" ht="14.25" customHeight="1">
      <c r="A110" s="36"/>
      <c r="B110" s="31"/>
      <c r="D110" s="38"/>
      <c r="E110" s="38"/>
      <c r="F110" s="38"/>
      <c r="G110" s="38"/>
    </row>
    <row r="111" ht="14.25" customHeight="1">
      <c r="A111" s="36"/>
      <c r="B111" s="31"/>
      <c r="D111" s="38"/>
      <c r="E111" s="38"/>
      <c r="F111" s="38"/>
      <c r="G111" s="38"/>
    </row>
    <row r="112" ht="14.25" customHeight="1">
      <c r="A112" s="36"/>
      <c r="B112" s="31"/>
      <c r="D112" s="38"/>
      <c r="E112" s="38"/>
      <c r="F112" s="38"/>
      <c r="G112" s="38"/>
    </row>
    <row r="113" ht="14.25" customHeight="1">
      <c r="A113" s="36"/>
      <c r="B113" s="31"/>
      <c r="D113" s="38"/>
      <c r="E113" s="38"/>
      <c r="F113" s="38"/>
      <c r="G113" s="38"/>
    </row>
    <row r="114" ht="14.25" customHeight="1">
      <c r="A114" s="36"/>
      <c r="B114" s="31"/>
      <c r="D114" s="38"/>
      <c r="E114" s="38"/>
      <c r="F114" s="38"/>
      <c r="G114" s="38"/>
    </row>
    <row r="115" ht="14.25" customHeight="1">
      <c r="A115" s="36"/>
      <c r="B115" s="31"/>
      <c r="D115" s="38"/>
      <c r="E115" s="38"/>
      <c r="F115" s="38"/>
      <c r="G115" s="38"/>
    </row>
    <row r="116" ht="14.25" customHeight="1">
      <c r="A116" s="36"/>
      <c r="B116" s="31"/>
      <c r="D116" s="38"/>
      <c r="E116" s="38"/>
      <c r="F116" s="38"/>
      <c r="G116" s="38"/>
    </row>
    <row r="117" ht="14.25" customHeight="1">
      <c r="A117" s="36"/>
      <c r="B117" s="31"/>
      <c r="D117" s="38"/>
      <c r="E117" s="38"/>
      <c r="F117" s="38"/>
      <c r="G117" s="38"/>
    </row>
    <row r="118" ht="14.25" customHeight="1">
      <c r="A118" s="36"/>
      <c r="B118" s="31"/>
      <c r="D118" s="38"/>
      <c r="E118" s="38"/>
      <c r="F118" s="38"/>
      <c r="G118" s="38"/>
    </row>
    <row r="119" ht="14.25" customHeight="1">
      <c r="A119" s="36"/>
      <c r="B119" s="31"/>
      <c r="D119" s="38"/>
      <c r="E119" s="38"/>
      <c r="F119" s="38"/>
      <c r="G119" s="38"/>
    </row>
    <row r="120" ht="14.25" customHeight="1">
      <c r="A120" s="36"/>
      <c r="B120" s="31"/>
      <c r="D120" s="38"/>
      <c r="E120" s="38"/>
      <c r="F120" s="38"/>
      <c r="G120" s="38"/>
    </row>
    <row r="121" ht="14.25" customHeight="1">
      <c r="A121" s="36"/>
      <c r="B121" s="31"/>
      <c r="D121" s="38"/>
      <c r="E121" s="38"/>
      <c r="F121" s="38"/>
      <c r="G121" s="38"/>
    </row>
    <row r="122" ht="14.25" customHeight="1">
      <c r="A122" s="36"/>
      <c r="B122" s="31"/>
      <c r="D122" s="38"/>
      <c r="E122" s="38"/>
      <c r="F122" s="38"/>
      <c r="G122" s="38"/>
    </row>
    <row r="123" ht="14.25" customHeight="1">
      <c r="A123" s="36"/>
      <c r="B123" s="31"/>
      <c r="D123" s="38"/>
      <c r="E123" s="38"/>
      <c r="F123" s="38"/>
      <c r="G123" s="38"/>
    </row>
    <row r="124" ht="14.25" customHeight="1">
      <c r="A124" s="36"/>
      <c r="B124" s="31"/>
      <c r="D124" s="38"/>
      <c r="E124" s="38"/>
      <c r="F124" s="38"/>
      <c r="G124" s="38"/>
    </row>
    <row r="125" ht="14.25" customHeight="1">
      <c r="A125" s="36"/>
      <c r="B125" s="31"/>
      <c r="D125" s="38"/>
      <c r="E125" s="38"/>
      <c r="F125" s="38"/>
      <c r="G125" s="38"/>
    </row>
    <row r="126" ht="14.25" customHeight="1">
      <c r="A126" s="36"/>
      <c r="B126" s="31"/>
      <c r="D126" s="38"/>
      <c r="E126" s="38"/>
      <c r="F126" s="38"/>
      <c r="G126" s="38"/>
    </row>
    <row r="127" ht="14.25" customHeight="1">
      <c r="A127" s="36"/>
      <c r="B127" s="31"/>
      <c r="D127" s="38"/>
      <c r="E127" s="38"/>
      <c r="F127" s="38"/>
      <c r="G127" s="38"/>
    </row>
    <row r="128" ht="14.25" customHeight="1">
      <c r="A128" s="36"/>
      <c r="B128" s="31"/>
      <c r="D128" s="38"/>
      <c r="E128" s="38"/>
      <c r="F128" s="38"/>
      <c r="G128" s="38"/>
    </row>
    <row r="129" ht="14.25" customHeight="1">
      <c r="A129" s="36"/>
      <c r="B129" s="31"/>
      <c r="D129" s="38"/>
      <c r="E129" s="38"/>
      <c r="F129" s="38"/>
      <c r="G129" s="38"/>
    </row>
    <row r="130" ht="14.25" customHeight="1">
      <c r="A130" s="36"/>
      <c r="B130" s="31"/>
      <c r="D130" s="38"/>
      <c r="E130" s="38"/>
      <c r="F130" s="38"/>
      <c r="G130" s="38"/>
    </row>
    <row r="131" ht="14.25" customHeight="1">
      <c r="A131" s="36"/>
      <c r="B131" s="31"/>
      <c r="D131" s="38"/>
      <c r="E131" s="38"/>
      <c r="F131" s="38"/>
      <c r="G131" s="38"/>
    </row>
    <row r="132" ht="14.25" customHeight="1">
      <c r="A132" s="36"/>
      <c r="B132" s="31"/>
      <c r="D132" s="38"/>
      <c r="E132" s="38"/>
      <c r="F132" s="38"/>
      <c r="G132" s="38"/>
    </row>
    <row r="133" ht="14.25" customHeight="1">
      <c r="A133" s="36"/>
      <c r="B133" s="31"/>
      <c r="D133" s="38"/>
      <c r="E133" s="38"/>
      <c r="F133" s="38"/>
      <c r="G133" s="38"/>
    </row>
    <row r="134" ht="14.25" customHeight="1">
      <c r="A134" s="36"/>
      <c r="B134" s="31"/>
      <c r="D134" s="38"/>
      <c r="E134" s="38"/>
      <c r="F134" s="38"/>
      <c r="G134" s="38"/>
    </row>
    <row r="135" ht="14.25" customHeight="1">
      <c r="A135" s="36"/>
      <c r="B135" s="31"/>
      <c r="D135" s="38"/>
      <c r="E135" s="38"/>
      <c r="F135" s="38"/>
      <c r="G135" s="38"/>
    </row>
    <row r="136" ht="14.25" customHeight="1">
      <c r="A136" s="36"/>
      <c r="B136" s="31"/>
      <c r="D136" s="38"/>
      <c r="E136" s="38"/>
      <c r="F136" s="38"/>
      <c r="G136" s="38"/>
    </row>
    <row r="137" ht="14.25" customHeight="1">
      <c r="A137" s="36"/>
      <c r="B137" s="31"/>
      <c r="D137" s="38"/>
      <c r="E137" s="38"/>
      <c r="F137" s="38"/>
      <c r="G137" s="38"/>
    </row>
    <row r="138" ht="14.25" customHeight="1">
      <c r="A138" s="36"/>
      <c r="B138" s="31"/>
      <c r="D138" s="38"/>
      <c r="E138" s="38"/>
      <c r="F138" s="38"/>
      <c r="G138" s="38"/>
    </row>
    <row r="139" ht="14.25" customHeight="1">
      <c r="A139" s="36"/>
      <c r="B139" s="31"/>
      <c r="D139" s="38"/>
      <c r="E139" s="38"/>
      <c r="F139" s="38"/>
      <c r="G139" s="38"/>
    </row>
    <row r="140" ht="14.25" customHeight="1">
      <c r="A140" s="36"/>
      <c r="B140" s="31"/>
      <c r="D140" s="38"/>
      <c r="E140" s="38"/>
      <c r="F140" s="38"/>
      <c r="G140" s="38"/>
    </row>
    <row r="141" ht="14.25" customHeight="1">
      <c r="A141" s="36"/>
      <c r="B141" s="31"/>
      <c r="D141" s="38"/>
      <c r="E141" s="38"/>
      <c r="F141" s="38"/>
      <c r="G141" s="38"/>
    </row>
    <row r="142" ht="14.25" customHeight="1">
      <c r="A142" s="36"/>
      <c r="B142" s="31"/>
      <c r="D142" s="38"/>
      <c r="E142" s="38"/>
      <c r="F142" s="38"/>
      <c r="G142" s="38"/>
    </row>
    <row r="143" ht="14.25" customHeight="1">
      <c r="A143" s="36"/>
      <c r="B143" s="31"/>
      <c r="D143" s="38"/>
      <c r="E143" s="38"/>
      <c r="F143" s="38"/>
      <c r="G143" s="38"/>
    </row>
    <row r="144" ht="14.25" customHeight="1">
      <c r="A144" s="36"/>
      <c r="B144" s="31"/>
      <c r="D144" s="38"/>
      <c r="E144" s="38"/>
      <c r="F144" s="38"/>
      <c r="G144" s="38"/>
    </row>
    <row r="145" ht="14.25" customHeight="1">
      <c r="A145" s="36"/>
      <c r="B145" s="31"/>
      <c r="D145" s="38"/>
      <c r="E145" s="38"/>
      <c r="F145" s="38"/>
      <c r="G145" s="38"/>
    </row>
    <row r="146" ht="14.25" customHeight="1">
      <c r="A146" s="36"/>
      <c r="B146" s="31"/>
      <c r="D146" s="38"/>
      <c r="E146" s="38"/>
      <c r="F146" s="38"/>
      <c r="G146" s="38"/>
    </row>
    <row r="147" ht="14.25" customHeight="1">
      <c r="A147" s="36"/>
      <c r="B147" s="31"/>
      <c r="D147" s="38"/>
      <c r="E147" s="38"/>
      <c r="F147" s="38"/>
      <c r="G147" s="38"/>
    </row>
    <row r="148" ht="14.25" customHeight="1">
      <c r="A148" s="36"/>
      <c r="B148" s="31"/>
      <c r="D148" s="38"/>
      <c r="E148" s="38"/>
      <c r="F148" s="38"/>
      <c r="G148" s="38"/>
    </row>
    <row r="149" ht="14.25" customHeight="1">
      <c r="A149" s="36"/>
      <c r="B149" s="31"/>
      <c r="D149" s="38"/>
      <c r="E149" s="38"/>
      <c r="F149" s="38"/>
      <c r="G149" s="38"/>
    </row>
    <row r="150" ht="14.25" customHeight="1">
      <c r="A150" s="36"/>
      <c r="B150" s="31"/>
      <c r="D150" s="38"/>
      <c r="E150" s="38"/>
      <c r="F150" s="38"/>
      <c r="G150" s="38"/>
    </row>
    <row r="151" ht="14.25" customHeight="1">
      <c r="A151" s="36"/>
      <c r="B151" s="31"/>
      <c r="D151" s="38"/>
      <c r="E151" s="38"/>
      <c r="F151" s="38"/>
      <c r="G151" s="38"/>
    </row>
    <row r="152" ht="14.25" customHeight="1">
      <c r="A152" s="36"/>
      <c r="B152" s="31"/>
      <c r="D152" s="38"/>
      <c r="E152" s="38"/>
      <c r="F152" s="38"/>
      <c r="G152" s="38"/>
    </row>
    <row r="153" ht="14.25" customHeight="1">
      <c r="A153" s="36"/>
      <c r="B153" s="31"/>
      <c r="D153" s="38"/>
      <c r="E153" s="38"/>
      <c r="F153" s="38"/>
      <c r="G153" s="38"/>
    </row>
    <row r="154" ht="14.25" customHeight="1">
      <c r="A154" s="36"/>
      <c r="B154" s="31"/>
      <c r="D154" s="38"/>
      <c r="E154" s="38"/>
      <c r="F154" s="38"/>
      <c r="G154" s="38"/>
    </row>
    <row r="155" ht="14.25" customHeight="1">
      <c r="A155" s="36"/>
      <c r="B155" s="31"/>
      <c r="D155" s="38"/>
      <c r="E155" s="38"/>
      <c r="F155" s="38"/>
      <c r="G155" s="38"/>
    </row>
    <row r="156" ht="14.25" customHeight="1">
      <c r="A156" s="36"/>
      <c r="B156" s="31"/>
      <c r="D156" s="38"/>
      <c r="E156" s="38"/>
      <c r="F156" s="38"/>
      <c r="G156" s="38"/>
    </row>
    <row r="157" ht="14.25" customHeight="1">
      <c r="A157" s="36"/>
      <c r="B157" s="31"/>
      <c r="D157" s="38"/>
      <c r="E157" s="38"/>
      <c r="F157" s="38"/>
      <c r="G157" s="38"/>
    </row>
    <row r="158" ht="14.25" customHeight="1">
      <c r="A158" s="36"/>
      <c r="B158" s="31"/>
      <c r="D158" s="38"/>
      <c r="E158" s="38"/>
      <c r="F158" s="38"/>
      <c r="G158" s="38"/>
    </row>
    <row r="159" ht="14.25" customHeight="1">
      <c r="A159" s="36"/>
      <c r="B159" s="31"/>
      <c r="D159" s="38"/>
      <c r="E159" s="38"/>
      <c r="F159" s="38"/>
      <c r="G159" s="38"/>
    </row>
    <row r="160" ht="14.25" customHeight="1">
      <c r="A160" s="36"/>
      <c r="B160" s="31"/>
      <c r="D160" s="38"/>
      <c r="E160" s="38"/>
      <c r="F160" s="38"/>
      <c r="G160" s="38"/>
    </row>
    <row r="161" ht="14.25" customHeight="1">
      <c r="A161" s="36"/>
      <c r="B161" s="31"/>
      <c r="D161" s="38"/>
      <c r="E161" s="38"/>
      <c r="F161" s="38"/>
      <c r="G161" s="38"/>
    </row>
    <row r="162" ht="14.25" customHeight="1">
      <c r="A162" s="36"/>
      <c r="B162" s="31"/>
      <c r="D162" s="38"/>
      <c r="E162" s="38"/>
      <c r="F162" s="38"/>
      <c r="G162" s="38"/>
    </row>
    <row r="163" ht="14.25" customHeight="1">
      <c r="A163" s="36"/>
      <c r="B163" s="31"/>
      <c r="D163" s="38"/>
      <c r="E163" s="38"/>
      <c r="F163" s="38"/>
      <c r="G163" s="38"/>
    </row>
    <row r="164" ht="14.25" customHeight="1">
      <c r="A164" s="36"/>
      <c r="B164" s="31"/>
      <c r="D164" s="38"/>
      <c r="E164" s="38"/>
      <c r="F164" s="38"/>
      <c r="G164" s="38"/>
    </row>
    <row r="165" ht="14.25" customHeight="1">
      <c r="A165" s="36"/>
      <c r="B165" s="31"/>
      <c r="D165" s="38"/>
      <c r="E165" s="38"/>
      <c r="F165" s="38"/>
      <c r="G165" s="38"/>
    </row>
    <row r="166" ht="14.25" customHeight="1">
      <c r="A166" s="36"/>
      <c r="B166" s="31"/>
      <c r="D166" s="38"/>
      <c r="E166" s="38"/>
      <c r="F166" s="38"/>
      <c r="G166" s="38"/>
    </row>
    <row r="167" ht="14.25" customHeight="1">
      <c r="A167" s="36"/>
      <c r="B167" s="31"/>
      <c r="D167" s="38"/>
      <c r="E167" s="38"/>
      <c r="F167" s="38"/>
      <c r="G167" s="38"/>
    </row>
    <row r="168" ht="14.25" customHeight="1">
      <c r="A168" s="36"/>
      <c r="B168" s="31"/>
      <c r="D168" s="38"/>
      <c r="E168" s="38"/>
      <c r="F168" s="38"/>
      <c r="G168" s="38"/>
    </row>
    <row r="169" ht="14.25" customHeight="1">
      <c r="A169" s="36"/>
      <c r="B169" s="31"/>
      <c r="D169" s="38"/>
      <c r="E169" s="38"/>
      <c r="F169" s="38"/>
      <c r="G169" s="38"/>
    </row>
    <row r="170" ht="14.25" customHeight="1">
      <c r="A170" s="36"/>
      <c r="B170" s="31"/>
      <c r="D170" s="38"/>
      <c r="E170" s="38"/>
      <c r="F170" s="38"/>
      <c r="G170" s="38"/>
    </row>
    <row r="171" ht="14.25" customHeight="1">
      <c r="A171" s="36"/>
      <c r="B171" s="31"/>
      <c r="D171" s="38"/>
      <c r="E171" s="38"/>
      <c r="F171" s="38"/>
      <c r="G171" s="38"/>
    </row>
    <row r="172" ht="14.25" customHeight="1">
      <c r="A172" s="36"/>
      <c r="B172" s="31"/>
      <c r="D172" s="38"/>
      <c r="E172" s="38"/>
      <c r="F172" s="38"/>
      <c r="G172" s="38"/>
    </row>
    <row r="173" ht="14.25" customHeight="1">
      <c r="A173" s="36"/>
      <c r="B173" s="31"/>
      <c r="D173" s="38"/>
      <c r="E173" s="38"/>
      <c r="F173" s="38"/>
      <c r="G173" s="38"/>
    </row>
    <row r="174" ht="14.25" customHeight="1">
      <c r="A174" s="36"/>
      <c r="B174" s="31"/>
      <c r="D174" s="38"/>
      <c r="E174" s="38"/>
      <c r="F174" s="38"/>
      <c r="G174" s="38"/>
    </row>
    <row r="175" ht="14.25" customHeight="1">
      <c r="A175" s="36"/>
      <c r="B175" s="31"/>
      <c r="D175" s="38"/>
      <c r="E175" s="38"/>
      <c r="F175" s="38"/>
      <c r="G175" s="38"/>
    </row>
    <row r="176" ht="14.25" customHeight="1">
      <c r="A176" s="36"/>
      <c r="B176" s="31"/>
      <c r="D176" s="38"/>
      <c r="E176" s="38"/>
      <c r="F176" s="38"/>
      <c r="G176" s="38"/>
    </row>
    <row r="177" ht="14.25" customHeight="1">
      <c r="A177" s="36"/>
      <c r="B177" s="31"/>
      <c r="D177" s="38"/>
      <c r="E177" s="38"/>
      <c r="F177" s="38"/>
      <c r="G177" s="38"/>
    </row>
    <row r="178" ht="14.25" customHeight="1">
      <c r="A178" s="36"/>
      <c r="B178" s="31"/>
      <c r="D178" s="38"/>
      <c r="E178" s="38"/>
      <c r="F178" s="38"/>
      <c r="G178" s="38"/>
    </row>
    <row r="179" ht="14.25" customHeight="1">
      <c r="A179" s="36"/>
      <c r="B179" s="31"/>
      <c r="D179" s="38"/>
      <c r="E179" s="38"/>
      <c r="F179" s="38"/>
      <c r="G179" s="38"/>
    </row>
    <row r="180" ht="14.25" customHeight="1">
      <c r="A180" s="36"/>
      <c r="B180" s="31"/>
      <c r="D180" s="38"/>
      <c r="E180" s="38"/>
      <c r="F180" s="38"/>
      <c r="G180" s="38"/>
    </row>
    <row r="181" ht="14.25" customHeight="1">
      <c r="A181" s="36"/>
      <c r="B181" s="31"/>
      <c r="D181" s="38"/>
      <c r="E181" s="38"/>
      <c r="F181" s="38"/>
      <c r="G181" s="38"/>
    </row>
    <row r="182" ht="14.25" customHeight="1">
      <c r="A182" s="36"/>
      <c r="B182" s="31"/>
      <c r="D182" s="38"/>
      <c r="E182" s="38"/>
      <c r="F182" s="38"/>
      <c r="G182" s="38"/>
    </row>
    <row r="183" ht="14.25" customHeight="1">
      <c r="A183" s="36"/>
      <c r="B183" s="31"/>
      <c r="D183" s="38"/>
      <c r="E183" s="38"/>
      <c r="F183" s="38"/>
      <c r="G183" s="38"/>
    </row>
    <row r="184" ht="14.25" customHeight="1">
      <c r="A184" s="36"/>
      <c r="B184" s="31"/>
      <c r="D184" s="38"/>
      <c r="E184" s="38"/>
      <c r="F184" s="38"/>
      <c r="G184" s="38"/>
    </row>
    <row r="185" ht="14.25" customHeight="1">
      <c r="A185" s="36"/>
      <c r="B185" s="31"/>
      <c r="D185" s="38"/>
      <c r="E185" s="38"/>
      <c r="F185" s="38"/>
      <c r="G185" s="38"/>
    </row>
    <row r="186" ht="14.25" customHeight="1">
      <c r="A186" s="36"/>
      <c r="B186" s="31"/>
      <c r="D186" s="38"/>
      <c r="E186" s="38"/>
      <c r="F186" s="38"/>
      <c r="G186" s="38"/>
    </row>
    <row r="187" ht="14.25" customHeight="1">
      <c r="A187" s="36"/>
      <c r="B187" s="31"/>
      <c r="D187" s="38"/>
      <c r="E187" s="38"/>
      <c r="F187" s="38"/>
      <c r="G187" s="38"/>
    </row>
    <row r="188" ht="14.25" customHeight="1">
      <c r="A188" s="36"/>
      <c r="B188" s="31"/>
      <c r="D188" s="38"/>
      <c r="E188" s="38"/>
      <c r="F188" s="38"/>
      <c r="G188" s="38"/>
    </row>
    <row r="189" ht="14.25" customHeight="1">
      <c r="A189" s="36"/>
      <c r="B189" s="31"/>
      <c r="D189" s="38"/>
      <c r="E189" s="38"/>
      <c r="F189" s="38"/>
      <c r="G189" s="38"/>
    </row>
    <row r="190" ht="14.25" customHeight="1">
      <c r="A190" s="36"/>
      <c r="B190" s="31"/>
      <c r="D190" s="38"/>
      <c r="E190" s="38"/>
      <c r="F190" s="38"/>
      <c r="G190" s="38"/>
    </row>
    <row r="191" ht="14.25" customHeight="1">
      <c r="A191" s="36"/>
      <c r="B191" s="31"/>
      <c r="D191" s="38"/>
      <c r="E191" s="38"/>
      <c r="F191" s="38"/>
      <c r="G191" s="38"/>
    </row>
    <row r="192" ht="14.25" customHeight="1">
      <c r="A192" s="36"/>
      <c r="B192" s="31"/>
      <c r="D192" s="38"/>
      <c r="E192" s="38"/>
      <c r="F192" s="38"/>
      <c r="G192" s="38"/>
    </row>
    <row r="193" ht="14.25" customHeight="1">
      <c r="A193" s="36"/>
      <c r="B193" s="31"/>
      <c r="D193" s="38"/>
      <c r="E193" s="38"/>
      <c r="F193" s="38"/>
      <c r="G193" s="38"/>
    </row>
    <row r="194" ht="14.25" customHeight="1">
      <c r="A194" s="36"/>
      <c r="B194" s="31"/>
      <c r="D194" s="38"/>
      <c r="E194" s="38"/>
      <c r="F194" s="38"/>
      <c r="G194" s="38"/>
    </row>
    <row r="195" ht="14.25" customHeight="1">
      <c r="A195" s="36"/>
      <c r="B195" s="31"/>
      <c r="D195" s="38"/>
      <c r="E195" s="38"/>
      <c r="F195" s="38"/>
      <c r="G195" s="38"/>
    </row>
    <row r="196" ht="14.25" customHeight="1">
      <c r="A196" s="36"/>
      <c r="B196" s="31"/>
      <c r="D196" s="38"/>
      <c r="E196" s="38"/>
      <c r="F196" s="38"/>
      <c r="G196" s="38"/>
    </row>
    <row r="197" ht="14.25" customHeight="1">
      <c r="A197" s="36"/>
      <c r="B197" s="31"/>
      <c r="D197" s="38"/>
      <c r="E197" s="38"/>
      <c r="F197" s="38"/>
      <c r="G197" s="38"/>
    </row>
    <row r="198" ht="14.25" customHeight="1">
      <c r="A198" s="36"/>
      <c r="B198" s="31"/>
      <c r="D198" s="38"/>
      <c r="E198" s="38"/>
      <c r="F198" s="38"/>
      <c r="G198" s="38"/>
    </row>
    <row r="199" ht="14.25" customHeight="1">
      <c r="A199" s="36"/>
      <c r="B199" s="31"/>
      <c r="D199" s="38"/>
      <c r="E199" s="38"/>
      <c r="F199" s="38"/>
      <c r="G199" s="38"/>
    </row>
    <row r="200" ht="14.25" customHeight="1">
      <c r="A200" s="36"/>
      <c r="B200" s="31"/>
      <c r="D200" s="38"/>
      <c r="E200" s="38"/>
      <c r="F200" s="38"/>
      <c r="G200" s="38"/>
    </row>
    <row r="201" ht="14.25" customHeight="1">
      <c r="A201" s="36"/>
      <c r="B201" s="31"/>
      <c r="D201" s="38"/>
      <c r="E201" s="38"/>
      <c r="F201" s="38"/>
      <c r="G201" s="38"/>
    </row>
    <row r="202" ht="14.25" customHeight="1">
      <c r="A202" s="36"/>
      <c r="B202" s="31"/>
      <c r="D202" s="38"/>
      <c r="E202" s="38"/>
      <c r="F202" s="38"/>
      <c r="G202" s="38"/>
    </row>
    <row r="203" ht="14.25" customHeight="1">
      <c r="A203" s="36"/>
      <c r="B203" s="31"/>
      <c r="D203" s="38"/>
      <c r="E203" s="38"/>
      <c r="F203" s="38"/>
      <c r="G203" s="38"/>
    </row>
    <row r="204" ht="14.25" customHeight="1">
      <c r="A204" s="36"/>
      <c r="B204" s="31"/>
      <c r="D204" s="38"/>
      <c r="E204" s="38"/>
      <c r="F204" s="38"/>
      <c r="G204" s="38"/>
    </row>
    <row r="205" ht="14.25" customHeight="1">
      <c r="A205" s="36"/>
      <c r="B205" s="31"/>
      <c r="D205" s="38"/>
      <c r="E205" s="38"/>
      <c r="F205" s="38"/>
      <c r="G205" s="38"/>
    </row>
    <row r="206" ht="14.25" customHeight="1">
      <c r="A206" s="36"/>
      <c r="B206" s="31"/>
      <c r="D206" s="38"/>
      <c r="E206" s="38"/>
      <c r="F206" s="38"/>
      <c r="G206" s="38"/>
    </row>
    <row r="207" ht="14.25" customHeight="1">
      <c r="A207" s="36"/>
      <c r="B207" s="31"/>
      <c r="D207" s="38"/>
      <c r="E207" s="38"/>
      <c r="F207" s="38"/>
      <c r="G207" s="38"/>
    </row>
    <row r="208" ht="14.25" customHeight="1">
      <c r="A208" s="36"/>
      <c r="B208" s="31"/>
      <c r="D208" s="38"/>
      <c r="E208" s="38"/>
      <c r="F208" s="38"/>
      <c r="G208" s="38"/>
    </row>
    <row r="209" ht="14.25" customHeight="1">
      <c r="A209" s="36"/>
      <c r="B209" s="31"/>
      <c r="D209" s="38"/>
      <c r="E209" s="38"/>
      <c r="F209" s="38"/>
      <c r="G209" s="38"/>
    </row>
    <row r="210" ht="14.25" customHeight="1">
      <c r="A210" s="36"/>
      <c r="B210" s="31"/>
      <c r="D210" s="38"/>
      <c r="E210" s="38"/>
      <c r="F210" s="38"/>
      <c r="G210" s="38"/>
    </row>
    <row r="211" ht="14.25" customHeight="1">
      <c r="A211" s="36"/>
      <c r="B211" s="31"/>
      <c r="D211" s="38"/>
      <c r="E211" s="38"/>
      <c r="F211" s="38"/>
      <c r="G211" s="38"/>
    </row>
    <row r="212" ht="14.25" customHeight="1">
      <c r="A212" s="36"/>
      <c r="B212" s="31"/>
      <c r="D212" s="38"/>
      <c r="E212" s="38"/>
      <c r="F212" s="38"/>
      <c r="G212" s="38"/>
    </row>
    <row r="213" ht="14.25" customHeight="1">
      <c r="A213" s="36"/>
      <c r="B213" s="31"/>
      <c r="D213" s="38"/>
      <c r="E213" s="38"/>
      <c r="F213" s="38"/>
      <c r="G213" s="38"/>
    </row>
    <row r="214" ht="14.25" customHeight="1">
      <c r="A214" s="36"/>
      <c r="B214" s="31"/>
      <c r="D214" s="38"/>
      <c r="E214" s="38"/>
      <c r="F214" s="38"/>
      <c r="G214" s="38"/>
    </row>
    <row r="215" ht="14.25" customHeight="1">
      <c r="A215" s="36"/>
      <c r="B215" s="31"/>
      <c r="D215" s="38"/>
      <c r="E215" s="38"/>
      <c r="F215" s="38"/>
      <c r="G215" s="38"/>
    </row>
    <row r="216" ht="14.25" customHeight="1">
      <c r="A216" s="36"/>
      <c r="B216" s="31"/>
      <c r="D216" s="38"/>
      <c r="E216" s="38"/>
      <c r="F216" s="38"/>
      <c r="G216" s="38"/>
    </row>
    <row r="217" ht="14.25" customHeight="1">
      <c r="A217" s="36"/>
      <c r="B217" s="31"/>
      <c r="D217" s="38"/>
      <c r="E217" s="38"/>
      <c r="F217" s="38"/>
      <c r="G217" s="38"/>
    </row>
    <row r="218" ht="14.25" customHeight="1">
      <c r="A218" s="36"/>
      <c r="B218" s="31"/>
      <c r="D218" s="38"/>
      <c r="E218" s="38"/>
      <c r="F218" s="38"/>
      <c r="G218" s="38"/>
    </row>
    <row r="219" ht="14.25" customHeight="1">
      <c r="A219" s="36"/>
      <c r="B219" s="31"/>
      <c r="D219" s="38"/>
      <c r="E219" s="38"/>
      <c r="F219" s="38"/>
      <c r="G219" s="38"/>
    </row>
    <row r="220" ht="14.25" customHeight="1">
      <c r="A220" s="36"/>
      <c r="B220" s="31"/>
      <c r="D220" s="38"/>
      <c r="E220" s="38"/>
      <c r="F220" s="38"/>
      <c r="G220" s="38"/>
    </row>
    <row r="221" ht="14.25" customHeight="1">
      <c r="A221" s="36"/>
      <c r="B221" s="31"/>
      <c r="D221" s="38"/>
      <c r="E221" s="38"/>
      <c r="F221" s="38"/>
      <c r="G221" s="38"/>
    </row>
    <row r="222" ht="14.25" customHeight="1">
      <c r="A222" s="36"/>
      <c r="B222" s="31"/>
      <c r="D222" s="38"/>
      <c r="E222" s="38"/>
      <c r="F222" s="38"/>
      <c r="G222" s="38"/>
    </row>
    <row r="223" ht="14.25" customHeight="1">
      <c r="A223" s="36"/>
      <c r="B223" s="31"/>
      <c r="D223" s="38"/>
      <c r="E223" s="38"/>
      <c r="F223" s="38"/>
      <c r="G223" s="38"/>
    </row>
    <row r="224" ht="14.25" customHeight="1">
      <c r="A224" s="36"/>
      <c r="B224" s="31"/>
      <c r="D224" s="38"/>
      <c r="E224" s="38"/>
      <c r="F224" s="38"/>
      <c r="G224" s="38"/>
    </row>
    <row r="225" ht="14.25" customHeight="1">
      <c r="A225" s="36"/>
      <c r="B225" s="31"/>
      <c r="D225" s="38"/>
      <c r="E225" s="38"/>
      <c r="F225" s="38"/>
      <c r="G225" s="38"/>
    </row>
    <row r="226" ht="14.25" customHeight="1">
      <c r="A226" s="36"/>
      <c r="B226" s="31"/>
      <c r="D226" s="38"/>
      <c r="E226" s="38"/>
      <c r="F226" s="38"/>
      <c r="G226" s="38"/>
    </row>
    <row r="227" ht="14.25" customHeight="1">
      <c r="A227" s="36"/>
      <c r="B227" s="31"/>
      <c r="D227" s="38"/>
      <c r="E227" s="38"/>
      <c r="F227" s="38"/>
      <c r="G227" s="38"/>
    </row>
    <row r="228" ht="14.25" customHeight="1">
      <c r="A228" s="36"/>
      <c r="B228" s="31"/>
      <c r="D228" s="38"/>
      <c r="E228" s="38"/>
      <c r="F228" s="38"/>
      <c r="G228" s="38"/>
    </row>
    <row r="229" ht="14.25" customHeight="1">
      <c r="A229" s="36"/>
      <c r="B229" s="31"/>
      <c r="D229" s="38"/>
      <c r="E229" s="38"/>
      <c r="F229" s="38"/>
      <c r="G229" s="38"/>
    </row>
    <row r="230" ht="14.25" customHeight="1">
      <c r="A230" s="36"/>
      <c r="B230" s="31"/>
      <c r="D230" s="38"/>
      <c r="E230" s="38"/>
      <c r="F230" s="38"/>
      <c r="G230" s="38"/>
    </row>
    <row r="231" ht="14.25" customHeight="1">
      <c r="A231" s="36"/>
      <c r="B231" s="31"/>
      <c r="D231" s="38"/>
      <c r="E231" s="38"/>
      <c r="F231" s="38"/>
      <c r="G231" s="38"/>
    </row>
    <row r="232" ht="14.25" customHeight="1">
      <c r="A232" s="36"/>
      <c r="B232" s="31"/>
      <c r="D232" s="38"/>
      <c r="E232" s="38"/>
      <c r="F232" s="38"/>
      <c r="G232" s="38"/>
    </row>
    <row r="233" ht="14.25" customHeight="1">
      <c r="A233" s="36"/>
      <c r="B233" s="31"/>
      <c r="D233" s="38"/>
      <c r="E233" s="38"/>
      <c r="F233" s="38"/>
      <c r="G233" s="38"/>
    </row>
    <row r="234" ht="14.25" customHeight="1">
      <c r="A234" s="36"/>
      <c r="B234" s="31"/>
      <c r="D234" s="38"/>
      <c r="E234" s="38"/>
      <c r="F234" s="38"/>
      <c r="G234" s="38"/>
    </row>
    <row r="235" ht="14.25" customHeight="1">
      <c r="A235" s="36"/>
      <c r="B235" s="31"/>
      <c r="D235" s="38"/>
      <c r="E235" s="38"/>
      <c r="F235" s="38"/>
      <c r="G235" s="38"/>
    </row>
    <row r="236" ht="14.25" customHeight="1">
      <c r="A236" s="36"/>
      <c r="B236" s="31"/>
      <c r="D236" s="38"/>
      <c r="E236" s="38"/>
      <c r="F236" s="38"/>
      <c r="G236" s="38"/>
    </row>
    <row r="237" ht="14.25" customHeight="1">
      <c r="A237" s="36"/>
      <c r="B237" s="31"/>
      <c r="D237" s="38"/>
      <c r="E237" s="38"/>
      <c r="F237" s="38"/>
      <c r="G237" s="38"/>
    </row>
    <row r="238" ht="14.25" customHeight="1">
      <c r="A238" s="36"/>
      <c r="B238" s="31"/>
      <c r="D238" s="38"/>
      <c r="E238" s="38"/>
      <c r="F238" s="38"/>
      <c r="G238" s="38"/>
    </row>
    <row r="239" ht="14.25" customHeight="1">
      <c r="A239" s="36"/>
      <c r="B239" s="31"/>
      <c r="D239" s="38"/>
      <c r="E239" s="38"/>
      <c r="F239" s="38"/>
      <c r="G239" s="38"/>
    </row>
    <row r="240" ht="14.25" customHeight="1">
      <c r="A240" s="36"/>
      <c r="B240" s="31"/>
      <c r="D240" s="38"/>
      <c r="E240" s="38"/>
      <c r="F240" s="38"/>
      <c r="G240" s="38"/>
    </row>
    <row r="241" ht="14.25" customHeight="1">
      <c r="A241" s="36"/>
      <c r="B241" s="31"/>
      <c r="D241" s="38"/>
      <c r="E241" s="38"/>
      <c r="F241" s="38"/>
      <c r="G241" s="38"/>
    </row>
    <row r="242" ht="14.25" customHeight="1">
      <c r="A242" s="36"/>
      <c r="B242" s="31"/>
      <c r="D242" s="38"/>
      <c r="E242" s="38"/>
      <c r="F242" s="38"/>
      <c r="G242" s="38"/>
    </row>
    <row r="243" ht="14.25" customHeight="1">
      <c r="A243" s="36"/>
      <c r="B243" s="31"/>
      <c r="D243" s="38"/>
      <c r="E243" s="38"/>
      <c r="F243" s="38"/>
      <c r="G243" s="38"/>
    </row>
    <row r="244" ht="14.25" customHeight="1">
      <c r="A244" s="36"/>
      <c r="B244" s="31"/>
      <c r="D244" s="38"/>
      <c r="E244" s="38"/>
      <c r="F244" s="38"/>
      <c r="G244" s="38"/>
    </row>
    <row r="245" ht="14.25" customHeight="1">
      <c r="A245" s="36"/>
      <c r="B245" s="31"/>
      <c r="D245" s="38"/>
      <c r="E245" s="38"/>
      <c r="F245" s="38"/>
      <c r="G245" s="38"/>
    </row>
    <row r="246" ht="14.25" customHeight="1">
      <c r="A246" s="36"/>
      <c r="B246" s="31"/>
      <c r="D246" s="38"/>
      <c r="E246" s="38"/>
      <c r="F246" s="38"/>
      <c r="G246" s="38"/>
    </row>
    <row r="247" ht="14.25" customHeight="1">
      <c r="A247" s="36"/>
      <c r="B247" s="31"/>
      <c r="D247" s="38"/>
      <c r="E247" s="38"/>
      <c r="F247" s="38"/>
      <c r="G247" s="38"/>
    </row>
    <row r="248" ht="14.25" customHeight="1">
      <c r="A248" s="36"/>
      <c r="B248" s="31"/>
      <c r="D248" s="38"/>
      <c r="E248" s="38"/>
      <c r="F248" s="38"/>
      <c r="G248" s="38"/>
    </row>
    <row r="249" ht="14.25" customHeight="1">
      <c r="A249" s="36"/>
      <c r="B249" s="31"/>
      <c r="D249" s="38"/>
      <c r="E249" s="38"/>
      <c r="F249" s="38"/>
      <c r="G249" s="38"/>
    </row>
    <row r="250" ht="14.25" customHeight="1">
      <c r="A250" s="36"/>
      <c r="B250" s="31"/>
      <c r="D250" s="38"/>
      <c r="E250" s="38"/>
      <c r="F250" s="38"/>
      <c r="G250" s="38"/>
    </row>
    <row r="251" ht="14.25" customHeight="1">
      <c r="A251" s="36"/>
      <c r="B251" s="31"/>
      <c r="D251" s="38"/>
      <c r="E251" s="38"/>
      <c r="F251" s="38"/>
      <c r="G251" s="38"/>
    </row>
    <row r="252" ht="14.25" customHeight="1">
      <c r="A252" s="36"/>
      <c r="B252" s="31"/>
      <c r="D252" s="38"/>
      <c r="E252" s="38"/>
      <c r="F252" s="38"/>
      <c r="G252" s="38"/>
    </row>
    <row r="253" ht="14.25" customHeight="1">
      <c r="A253" s="36"/>
      <c r="B253" s="31"/>
      <c r="D253" s="38"/>
      <c r="E253" s="38"/>
      <c r="F253" s="38"/>
      <c r="G253" s="38"/>
    </row>
    <row r="254" ht="14.25" customHeight="1">
      <c r="A254" s="36"/>
      <c r="B254" s="31"/>
      <c r="D254" s="38"/>
      <c r="E254" s="38"/>
      <c r="F254" s="38"/>
      <c r="G254" s="38"/>
    </row>
    <row r="255" ht="14.25" customHeight="1">
      <c r="A255" s="36"/>
      <c r="B255" s="31"/>
      <c r="D255" s="38"/>
      <c r="E255" s="38"/>
      <c r="F255" s="38"/>
      <c r="G255" s="38"/>
    </row>
    <row r="256" ht="14.25" customHeight="1">
      <c r="A256" s="36"/>
      <c r="B256" s="31"/>
      <c r="D256" s="38"/>
      <c r="E256" s="38"/>
      <c r="F256" s="38"/>
      <c r="G256" s="38"/>
    </row>
    <row r="257" ht="14.25" customHeight="1">
      <c r="A257" s="36"/>
      <c r="B257" s="31"/>
      <c r="D257" s="38"/>
      <c r="E257" s="38"/>
      <c r="F257" s="38"/>
      <c r="G257" s="38"/>
    </row>
    <row r="258" ht="14.25" customHeight="1">
      <c r="A258" s="36"/>
      <c r="B258" s="31"/>
      <c r="D258" s="38"/>
      <c r="E258" s="38"/>
      <c r="F258" s="38"/>
      <c r="G258" s="38"/>
    </row>
    <row r="259" ht="14.25" customHeight="1">
      <c r="A259" s="36"/>
      <c r="B259" s="31"/>
      <c r="D259" s="38"/>
      <c r="E259" s="38"/>
      <c r="F259" s="38"/>
      <c r="G259" s="38"/>
    </row>
    <row r="260" ht="14.25" customHeight="1">
      <c r="A260" s="36"/>
      <c r="B260" s="31"/>
      <c r="D260" s="38"/>
      <c r="E260" s="38"/>
      <c r="F260" s="38"/>
      <c r="G260" s="38"/>
    </row>
    <row r="261" ht="14.25" customHeight="1">
      <c r="A261" s="36"/>
      <c r="B261" s="31"/>
      <c r="D261" s="38"/>
      <c r="E261" s="38"/>
      <c r="F261" s="38"/>
      <c r="G261" s="38"/>
    </row>
    <row r="262" ht="14.25" customHeight="1">
      <c r="A262" s="36"/>
      <c r="B262" s="31"/>
      <c r="D262" s="38"/>
      <c r="E262" s="38"/>
      <c r="F262" s="38"/>
      <c r="G262" s="38"/>
    </row>
    <row r="263" ht="14.25" customHeight="1">
      <c r="A263" s="36"/>
      <c r="B263" s="31"/>
      <c r="D263" s="38"/>
      <c r="E263" s="38"/>
      <c r="F263" s="38"/>
      <c r="G263" s="38"/>
    </row>
    <row r="264" ht="14.25" customHeight="1">
      <c r="A264" s="36"/>
      <c r="B264" s="31"/>
      <c r="D264" s="38"/>
      <c r="E264" s="38"/>
      <c r="F264" s="38"/>
      <c r="G264" s="38"/>
    </row>
    <row r="265" ht="14.25" customHeight="1">
      <c r="A265" s="36"/>
      <c r="B265" s="31"/>
      <c r="D265" s="38"/>
      <c r="E265" s="38"/>
      <c r="F265" s="38"/>
      <c r="G265" s="38"/>
    </row>
    <row r="266" ht="14.25" customHeight="1">
      <c r="A266" s="36"/>
      <c r="B266" s="31"/>
      <c r="D266" s="38"/>
      <c r="E266" s="38"/>
      <c r="F266" s="38"/>
      <c r="G266" s="38"/>
    </row>
    <row r="267" ht="14.25" customHeight="1">
      <c r="A267" s="36"/>
      <c r="B267" s="31"/>
      <c r="D267" s="38"/>
      <c r="E267" s="38"/>
      <c r="F267" s="38"/>
      <c r="G267" s="38"/>
    </row>
    <row r="268" ht="14.25" customHeight="1">
      <c r="A268" s="36"/>
      <c r="B268" s="31"/>
      <c r="D268" s="38"/>
      <c r="E268" s="38"/>
      <c r="F268" s="38"/>
      <c r="G268" s="38"/>
    </row>
    <row r="269" ht="14.25" customHeight="1">
      <c r="A269" s="36"/>
      <c r="B269" s="31"/>
      <c r="D269" s="38"/>
      <c r="E269" s="38"/>
      <c r="F269" s="38"/>
      <c r="G269" s="38"/>
    </row>
    <row r="270" ht="14.25" customHeight="1">
      <c r="A270" s="36"/>
      <c r="B270" s="31"/>
      <c r="D270" s="38"/>
      <c r="E270" s="38"/>
      <c r="F270" s="38"/>
      <c r="G270" s="38"/>
    </row>
    <row r="271" ht="14.25" customHeight="1">
      <c r="A271" s="36"/>
      <c r="B271" s="31"/>
      <c r="D271" s="38"/>
      <c r="E271" s="38"/>
      <c r="F271" s="38"/>
      <c r="G271" s="38"/>
    </row>
    <row r="272" ht="14.25" customHeight="1">
      <c r="A272" s="36"/>
      <c r="B272" s="31"/>
      <c r="D272" s="38"/>
      <c r="E272" s="38"/>
      <c r="F272" s="38"/>
      <c r="G272" s="38"/>
    </row>
    <row r="273" ht="14.25" customHeight="1">
      <c r="A273" s="36"/>
      <c r="B273" s="31"/>
      <c r="D273" s="38"/>
      <c r="E273" s="38"/>
      <c r="F273" s="38"/>
      <c r="G273" s="38"/>
    </row>
    <row r="274" ht="14.25" customHeight="1">
      <c r="A274" s="36"/>
      <c r="B274" s="31"/>
      <c r="D274" s="38"/>
      <c r="E274" s="38"/>
      <c r="F274" s="38"/>
      <c r="G274" s="38"/>
    </row>
    <row r="275" ht="14.25" customHeight="1">
      <c r="A275" s="36"/>
      <c r="B275" s="31"/>
      <c r="D275" s="38"/>
      <c r="E275" s="38"/>
      <c r="F275" s="38"/>
      <c r="G275" s="38"/>
    </row>
    <row r="276" ht="14.25" customHeight="1">
      <c r="A276" s="36"/>
      <c r="B276" s="31"/>
      <c r="D276" s="38"/>
      <c r="E276" s="38"/>
      <c r="F276" s="38"/>
      <c r="G276" s="38"/>
    </row>
    <row r="277" ht="14.25" customHeight="1">
      <c r="A277" s="36"/>
      <c r="B277" s="31"/>
      <c r="D277" s="38"/>
      <c r="E277" s="38"/>
      <c r="F277" s="38"/>
      <c r="G277" s="38"/>
    </row>
    <row r="278" ht="14.25" customHeight="1">
      <c r="A278" s="36"/>
      <c r="B278" s="31"/>
      <c r="D278" s="38"/>
      <c r="E278" s="38"/>
      <c r="F278" s="38"/>
      <c r="G278" s="38"/>
    </row>
    <row r="279" ht="14.25" customHeight="1">
      <c r="A279" s="36"/>
      <c r="B279" s="31"/>
      <c r="D279" s="38"/>
      <c r="E279" s="38"/>
      <c r="F279" s="38"/>
      <c r="G279" s="38"/>
    </row>
    <row r="280" ht="14.25" customHeight="1">
      <c r="A280" s="36"/>
      <c r="B280" s="31"/>
      <c r="D280" s="38"/>
      <c r="E280" s="38"/>
      <c r="F280" s="38"/>
      <c r="G280" s="38"/>
    </row>
    <row r="281" ht="14.25" customHeight="1">
      <c r="A281" s="36"/>
      <c r="B281" s="31"/>
      <c r="D281" s="38"/>
      <c r="E281" s="38"/>
      <c r="F281" s="38"/>
      <c r="G281" s="38"/>
    </row>
    <row r="282" ht="14.25" customHeight="1">
      <c r="A282" s="36"/>
      <c r="B282" s="31"/>
      <c r="D282" s="38"/>
      <c r="E282" s="38"/>
      <c r="F282" s="38"/>
      <c r="G282" s="38"/>
    </row>
    <row r="283" ht="14.25" customHeight="1">
      <c r="A283" s="36"/>
      <c r="B283" s="31"/>
      <c r="D283" s="38"/>
      <c r="E283" s="38"/>
      <c r="F283" s="38"/>
      <c r="G283" s="38"/>
    </row>
    <row r="284" ht="14.25" customHeight="1">
      <c r="A284" s="36"/>
      <c r="B284" s="31"/>
      <c r="D284" s="38"/>
      <c r="E284" s="38"/>
      <c r="F284" s="38"/>
      <c r="G284" s="38"/>
    </row>
    <row r="285" ht="14.25" customHeight="1">
      <c r="A285" s="36"/>
      <c r="B285" s="31"/>
      <c r="D285" s="38"/>
      <c r="E285" s="38"/>
      <c r="F285" s="38"/>
      <c r="G285" s="38"/>
    </row>
    <row r="286" ht="14.25" customHeight="1">
      <c r="A286" s="36"/>
      <c r="B286" s="31"/>
      <c r="D286" s="38"/>
      <c r="E286" s="38"/>
      <c r="F286" s="38"/>
      <c r="G286" s="38"/>
    </row>
    <row r="287" ht="14.25" customHeight="1">
      <c r="A287" s="36"/>
      <c r="B287" s="31"/>
      <c r="D287" s="38"/>
      <c r="E287" s="38"/>
      <c r="F287" s="38"/>
      <c r="G287" s="38"/>
    </row>
    <row r="288" ht="14.25" customHeight="1">
      <c r="A288" s="36"/>
      <c r="B288" s="31"/>
      <c r="D288" s="38"/>
      <c r="E288" s="38"/>
      <c r="F288" s="38"/>
      <c r="G288" s="38"/>
    </row>
    <row r="289" ht="14.25" customHeight="1">
      <c r="A289" s="36"/>
      <c r="B289" s="31"/>
      <c r="D289" s="38"/>
      <c r="E289" s="38"/>
      <c r="F289" s="38"/>
      <c r="G289" s="38"/>
    </row>
    <row r="290" ht="14.25" customHeight="1">
      <c r="A290" s="36"/>
      <c r="B290" s="31"/>
      <c r="D290" s="38"/>
      <c r="E290" s="38"/>
      <c r="F290" s="38"/>
      <c r="G290" s="38"/>
    </row>
    <row r="291" ht="14.25" customHeight="1">
      <c r="A291" s="36"/>
      <c r="B291" s="31"/>
      <c r="D291" s="38"/>
      <c r="E291" s="38"/>
      <c r="F291" s="38"/>
      <c r="G291" s="38"/>
    </row>
    <row r="292" ht="14.25" customHeight="1">
      <c r="A292" s="36"/>
      <c r="B292" s="31"/>
      <c r="D292" s="38"/>
      <c r="E292" s="38"/>
      <c r="F292" s="38"/>
      <c r="G292" s="38"/>
    </row>
    <row r="293" ht="14.25" customHeight="1">
      <c r="A293" s="36"/>
      <c r="B293" s="31"/>
      <c r="D293" s="38"/>
      <c r="E293" s="38"/>
      <c r="F293" s="38"/>
      <c r="G293" s="38"/>
    </row>
    <row r="294" ht="14.25" customHeight="1">
      <c r="A294" s="36"/>
      <c r="B294" s="31"/>
      <c r="D294" s="38"/>
      <c r="E294" s="38"/>
      <c r="F294" s="38"/>
      <c r="G294" s="38"/>
    </row>
    <row r="295" ht="14.25" customHeight="1">
      <c r="A295" s="36"/>
      <c r="B295" s="31"/>
      <c r="D295" s="38"/>
      <c r="E295" s="38"/>
      <c r="F295" s="38"/>
      <c r="G295" s="38"/>
    </row>
    <row r="296" ht="14.25" customHeight="1">
      <c r="A296" s="36"/>
      <c r="B296" s="31"/>
      <c r="D296" s="38"/>
      <c r="E296" s="38"/>
      <c r="F296" s="38"/>
      <c r="G296" s="38"/>
    </row>
    <row r="297" ht="14.25" customHeight="1">
      <c r="A297" s="36"/>
      <c r="B297" s="31"/>
      <c r="D297" s="38"/>
      <c r="E297" s="38"/>
      <c r="F297" s="38"/>
      <c r="G297" s="38"/>
    </row>
    <row r="298" ht="14.25" customHeight="1">
      <c r="A298" s="36"/>
      <c r="B298" s="31"/>
      <c r="D298" s="38"/>
      <c r="E298" s="38"/>
      <c r="F298" s="38"/>
      <c r="G298" s="38"/>
    </row>
    <row r="299" ht="14.25" customHeight="1">
      <c r="A299" s="36"/>
      <c r="B299" s="31"/>
      <c r="D299" s="38"/>
      <c r="E299" s="38"/>
      <c r="F299" s="38"/>
      <c r="G299" s="38"/>
    </row>
    <row r="300" ht="14.25" customHeight="1">
      <c r="A300" s="36"/>
      <c r="B300" s="31"/>
      <c r="D300" s="38"/>
      <c r="E300" s="38"/>
      <c r="F300" s="38"/>
      <c r="G300" s="38"/>
    </row>
    <row r="301" ht="14.25" customHeight="1">
      <c r="A301" s="36"/>
      <c r="B301" s="31"/>
      <c r="D301" s="38"/>
      <c r="E301" s="38"/>
      <c r="F301" s="38"/>
      <c r="G301" s="38"/>
    </row>
    <row r="302" ht="14.25" customHeight="1">
      <c r="A302" s="36"/>
      <c r="B302" s="31"/>
      <c r="D302" s="38"/>
      <c r="E302" s="38"/>
      <c r="F302" s="38"/>
      <c r="G302" s="38"/>
    </row>
    <row r="303" ht="14.25" customHeight="1">
      <c r="A303" s="36"/>
      <c r="B303" s="31"/>
      <c r="D303" s="38"/>
      <c r="E303" s="38"/>
      <c r="F303" s="38"/>
      <c r="G303" s="38"/>
    </row>
    <row r="304" ht="14.25" customHeight="1">
      <c r="A304" s="36"/>
      <c r="B304" s="31"/>
      <c r="D304" s="38"/>
      <c r="E304" s="38"/>
      <c r="F304" s="38"/>
      <c r="G304" s="38"/>
    </row>
    <row r="305" ht="14.25" customHeight="1">
      <c r="A305" s="36"/>
      <c r="B305" s="31"/>
      <c r="D305" s="38"/>
      <c r="E305" s="38"/>
      <c r="F305" s="38"/>
      <c r="G305" s="38"/>
    </row>
    <row r="306" ht="14.25" customHeight="1">
      <c r="A306" s="36"/>
      <c r="B306" s="31"/>
      <c r="D306" s="38"/>
      <c r="E306" s="38"/>
      <c r="F306" s="38"/>
      <c r="G306" s="38"/>
    </row>
    <row r="307" ht="14.25" customHeight="1">
      <c r="A307" s="36"/>
      <c r="B307" s="31"/>
      <c r="D307" s="38"/>
      <c r="E307" s="38"/>
      <c r="F307" s="38"/>
      <c r="G307" s="38"/>
    </row>
    <row r="308" ht="14.25" customHeight="1">
      <c r="A308" s="36"/>
      <c r="B308" s="31"/>
      <c r="D308" s="38"/>
      <c r="E308" s="38"/>
      <c r="F308" s="38"/>
      <c r="G308" s="38"/>
    </row>
    <row r="309" ht="14.25" customHeight="1">
      <c r="A309" s="36"/>
      <c r="B309" s="31"/>
      <c r="D309" s="38"/>
      <c r="E309" s="38"/>
      <c r="F309" s="38"/>
      <c r="G309" s="38"/>
    </row>
    <row r="310" ht="14.25" customHeight="1">
      <c r="A310" s="36"/>
      <c r="B310" s="31"/>
      <c r="D310" s="38"/>
      <c r="E310" s="38"/>
      <c r="F310" s="38"/>
      <c r="G310" s="38"/>
    </row>
    <row r="311" ht="14.25" customHeight="1">
      <c r="A311" s="36"/>
      <c r="B311" s="31"/>
      <c r="D311" s="38"/>
      <c r="E311" s="38"/>
      <c r="F311" s="38"/>
      <c r="G311" s="38"/>
    </row>
    <row r="312" ht="14.25" customHeight="1">
      <c r="A312" s="36"/>
      <c r="B312" s="31"/>
      <c r="D312" s="38"/>
      <c r="E312" s="38"/>
      <c r="F312" s="38"/>
      <c r="G312" s="38"/>
    </row>
    <row r="313" ht="14.25" customHeight="1">
      <c r="A313" s="36"/>
      <c r="B313" s="31"/>
      <c r="D313" s="38"/>
      <c r="E313" s="38"/>
      <c r="F313" s="38"/>
      <c r="G313" s="38"/>
    </row>
    <row r="314" ht="14.25" customHeight="1">
      <c r="A314" s="36"/>
      <c r="B314" s="31"/>
      <c r="D314" s="38"/>
      <c r="E314" s="38"/>
      <c r="F314" s="38"/>
      <c r="G314" s="38"/>
    </row>
    <row r="315" ht="14.25" customHeight="1">
      <c r="A315" s="36"/>
      <c r="B315" s="31"/>
      <c r="D315" s="38"/>
      <c r="E315" s="38"/>
      <c r="F315" s="38"/>
      <c r="G315" s="38"/>
    </row>
    <row r="316" ht="14.25" customHeight="1">
      <c r="A316" s="36"/>
      <c r="B316" s="31"/>
      <c r="D316" s="38"/>
      <c r="E316" s="38"/>
      <c r="F316" s="38"/>
      <c r="G316" s="38"/>
    </row>
    <row r="317" ht="14.25" customHeight="1">
      <c r="A317" s="36"/>
      <c r="B317" s="31"/>
      <c r="D317" s="38"/>
      <c r="E317" s="38"/>
      <c r="F317" s="38"/>
      <c r="G317" s="38"/>
    </row>
    <row r="318" ht="14.25" customHeight="1">
      <c r="A318" s="36"/>
      <c r="B318" s="31"/>
      <c r="D318" s="38"/>
      <c r="E318" s="38"/>
      <c r="F318" s="38"/>
      <c r="G318" s="38"/>
    </row>
    <row r="319" ht="14.25" customHeight="1">
      <c r="A319" s="36"/>
      <c r="B319" s="31"/>
      <c r="D319" s="38"/>
      <c r="E319" s="38"/>
      <c r="F319" s="38"/>
      <c r="G319" s="38"/>
    </row>
    <row r="320" ht="14.25" customHeight="1">
      <c r="A320" s="36"/>
      <c r="B320" s="31"/>
      <c r="D320" s="38"/>
      <c r="E320" s="38"/>
      <c r="F320" s="38"/>
      <c r="G320" s="38"/>
    </row>
    <row r="321" ht="14.25" customHeight="1">
      <c r="A321" s="36"/>
      <c r="B321" s="31"/>
      <c r="D321" s="38"/>
      <c r="E321" s="38"/>
      <c r="F321" s="38"/>
      <c r="G321" s="38"/>
    </row>
    <row r="322" ht="14.25" customHeight="1">
      <c r="A322" s="36"/>
      <c r="B322" s="31"/>
      <c r="D322" s="38"/>
      <c r="E322" s="38"/>
      <c r="F322" s="38"/>
      <c r="G322" s="38"/>
    </row>
    <row r="323" ht="14.25" customHeight="1">
      <c r="A323" s="36"/>
      <c r="B323" s="31"/>
      <c r="D323" s="38"/>
      <c r="E323" s="38"/>
      <c r="F323" s="38"/>
      <c r="G323" s="38"/>
    </row>
    <row r="324" ht="14.25" customHeight="1">
      <c r="A324" s="36"/>
      <c r="B324" s="31"/>
      <c r="D324" s="38"/>
      <c r="E324" s="38"/>
      <c r="F324" s="38"/>
      <c r="G324" s="38"/>
    </row>
    <row r="325" ht="14.25" customHeight="1">
      <c r="A325" s="36"/>
      <c r="B325" s="31"/>
      <c r="D325" s="38"/>
      <c r="E325" s="38"/>
      <c r="F325" s="38"/>
      <c r="G325" s="38"/>
    </row>
    <row r="326" ht="14.25" customHeight="1">
      <c r="A326" s="36"/>
      <c r="B326" s="31"/>
      <c r="D326" s="38"/>
      <c r="E326" s="38"/>
      <c r="F326" s="38"/>
      <c r="G326" s="38"/>
    </row>
    <row r="327" ht="14.25" customHeight="1">
      <c r="A327" s="36"/>
      <c r="B327" s="31"/>
      <c r="D327" s="38"/>
      <c r="E327" s="38"/>
      <c r="F327" s="38"/>
      <c r="G327" s="38"/>
    </row>
    <row r="328" ht="14.25" customHeight="1">
      <c r="A328" s="36"/>
      <c r="B328" s="31"/>
      <c r="D328" s="38"/>
      <c r="E328" s="38"/>
      <c r="F328" s="38"/>
      <c r="G328" s="38"/>
    </row>
    <row r="329" ht="14.25" customHeight="1">
      <c r="A329" s="36"/>
      <c r="B329" s="31"/>
      <c r="D329" s="38"/>
      <c r="E329" s="38"/>
      <c r="F329" s="38"/>
      <c r="G329" s="38"/>
    </row>
    <row r="330" ht="14.25" customHeight="1">
      <c r="A330" s="36"/>
      <c r="B330" s="31"/>
      <c r="D330" s="38"/>
      <c r="E330" s="38"/>
      <c r="F330" s="38"/>
      <c r="G330" s="38"/>
    </row>
    <row r="331" ht="14.25" customHeight="1">
      <c r="A331" s="36"/>
      <c r="B331" s="31"/>
      <c r="D331" s="38"/>
      <c r="E331" s="38"/>
      <c r="F331" s="38"/>
      <c r="G331" s="38"/>
    </row>
    <row r="332" ht="14.25" customHeight="1">
      <c r="A332" s="36"/>
      <c r="B332" s="31"/>
      <c r="D332" s="38"/>
      <c r="E332" s="38"/>
      <c r="F332" s="38"/>
      <c r="G332" s="38"/>
    </row>
    <row r="333" ht="14.25" customHeight="1">
      <c r="A333" s="36"/>
      <c r="B333" s="31"/>
      <c r="D333" s="38"/>
      <c r="E333" s="38"/>
      <c r="F333" s="38"/>
      <c r="G333" s="38"/>
    </row>
    <row r="334" ht="14.25" customHeight="1">
      <c r="A334" s="36"/>
      <c r="B334" s="31"/>
      <c r="D334" s="38"/>
      <c r="E334" s="38"/>
      <c r="F334" s="38"/>
      <c r="G334" s="38"/>
    </row>
    <row r="335" ht="14.25" customHeight="1">
      <c r="A335" s="36"/>
      <c r="B335" s="31"/>
      <c r="D335" s="38"/>
      <c r="E335" s="38"/>
      <c r="F335" s="38"/>
      <c r="G335" s="38"/>
    </row>
    <row r="336" ht="14.25" customHeight="1">
      <c r="A336" s="36"/>
      <c r="B336" s="31"/>
      <c r="D336" s="38"/>
      <c r="E336" s="38"/>
      <c r="F336" s="38"/>
      <c r="G336" s="38"/>
    </row>
    <row r="337" ht="14.25" customHeight="1">
      <c r="A337" s="36"/>
      <c r="B337" s="31"/>
      <c r="D337" s="38"/>
      <c r="E337" s="38"/>
      <c r="F337" s="38"/>
      <c r="G337" s="38"/>
    </row>
    <row r="338" ht="14.25" customHeight="1">
      <c r="A338" s="36"/>
      <c r="B338" s="31"/>
      <c r="D338" s="38"/>
      <c r="E338" s="38"/>
      <c r="F338" s="38"/>
      <c r="G338" s="38"/>
    </row>
    <row r="339" ht="14.25" customHeight="1">
      <c r="A339" s="36"/>
      <c r="B339" s="31"/>
      <c r="D339" s="38"/>
      <c r="E339" s="38"/>
      <c r="F339" s="38"/>
      <c r="G339" s="38"/>
    </row>
    <row r="340" ht="14.25" customHeight="1">
      <c r="A340" s="36"/>
      <c r="B340" s="31"/>
      <c r="D340" s="38"/>
      <c r="E340" s="38"/>
      <c r="F340" s="38"/>
      <c r="G340" s="38"/>
    </row>
    <row r="341" ht="14.25" customHeight="1">
      <c r="A341" s="36"/>
      <c r="B341" s="31"/>
      <c r="D341" s="38"/>
      <c r="E341" s="38"/>
      <c r="F341" s="38"/>
      <c r="G341" s="38"/>
    </row>
    <row r="342" ht="14.25" customHeight="1">
      <c r="A342" s="36"/>
      <c r="B342" s="31"/>
      <c r="D342" s="38"/>
      <c r="E342" s="38"/>
      <c r="F342" s="38"/>
      <c r="G342" s="38"/>
    </row>
    <row r="343" ht="14.25" customHeight="1">
      <c r="A343" s="36"/>
      <c r="B343" s="31"/>
      <c r="D343" s="38"/>
      <c r="E343" s="38"/>
      <c r="F343" s="38"/>
      <c r="G343" s="38"/>
    </row>
    <row r="344" ht="14.25" customHeight="1">
      <c r="A344" s="36"/>
      <c r="B344" s="31"/>
      <c r="D344" s="38"/>
      <c r="E344" s="38"/>
      <c r="F344" s="38"/>
      <c r="G344" s="38"/>
    </row>
    <row r="345" ht="14.25" customHeight="1">
      <c r="A345" s="36"/>
      <c r="B345" s="31"/>
      <c r="D345" s="38"/>
      <c r="E345" s="38"/>
      <c r="F345" s="38"/>
      <c r="G345" s="38"/>
    </row>
    <row r="346" ht="14.25" customHeight="1">
      <c r="A346" s="36"/>
      <c r="B346" s="31"/>
      <c r="D346" s="38"/>
      <c r="E346" s="38"/>
      <c r="F346" s="38"/>
      <c r="G346" s="38"/>
    </row>
    <row r="347" ht="14.25" customHeight="1">
      <c r="A347" s="36"/>
      <c r="B347" s="31"/>
      <c r="D347" s="38"/>
      <c r="E347" s="38"/>
      <c r="F347" s="38"/>
      <c r="G347" s="38"/>
    </row>
    <row r="348" ht="14.25" customHeight="1">
      <c r="A348" s="36"/>
      <c r="B348" s="31"/>
      <c r="D348" s="38"/>
      <c r="E348" s="38"/>
      <c r="F348" s="38"/>
      <c r="G348" s="38"/>
    </row>
    <row r="349" ht="14.25" customHeight="1">
      <c r="A349" s="36"/>
      <c r="B349" s="31"/>
      <c r="D349" s="38"/>
      <c r="E349" s="38"/>
      <c r="F349" s="38"/>
      <c r="G349" s="38"/>
    </row>
    <row r="350" ht="14.25" customHeight="1">
      <c r="A350" s="36"/>
      <c r="B350" s="31"/>
      <c r="D350" s="38"/>
      <c r="E350" s="38"/>
      <c r="F350" s="38"/>
      <c r="G350" s="38"/>
    </row>
    <row r="351" ht="14.25" customHeight="1">
      <c r="A351" s="36"/>
      <c r="B351" s="31"/>
      <c r="D351" s="38"/>
      <c r="E351" s="38"/>
      <c r="F351" s="38"/>
      <c r="G351" s="38"/>
    </row>
    <row r="352" ht="14.25" customHeight="1">
      <c r="A352" s="36"/>
      <c r="B352" s="31"/>
      <c r="D352" s="38"/>
      <c r="E352" s="38"/>
      <c r="F352" s="38"/>
      <c r="G352" s="38"/>
    </row>
    <row r="353" ht="14.25" customHeight="1">
      <c r="A353" s="36"/>
      <c r="B353" s="31"/>
      <c r="D353" s="38"/>
      <c r="E353" s="38"/>
      <c r="F353" s="38"/>
      <c r="G353" s="38"/>
    </row>
    <row r="354" ht="14.25" customHeight="1">
      <c r="A354" s="36"/>
      <c r="B354" s="31"/>
      <c r="D354" s="38"/>
      <c r="E354" s="38"/>
      <c r="F354" s="38"/>
      <c r="G354" s="38"/>
    </row>
    <row r="355" ht="14.25" customHeight="1">
      <c r="A355" s="36"/>
      <c r="B355" s="31"/>
      <c r="D355" s="38"/>
      <c r="E355" s="38"/>
      <c r="F355" s="38"/>
      <c r="G355" s="38"/>
    </row>
    <row r="356" ht="14.25" customHeight="1">
      <c r="A356" s="36"/>
      <c r="B356" s="31"/>
      <c r="D356" s="38"/>
      <c r="E356" s="38"/>
      <c r="F356" s="38"/>
      <c r="G356" s="38"/>
    </row>
    <row r="357" ht="14.25" customHeight="1">
      <c r="A357" s="36"/>
      <c r="B357" s="31"/>
      <c r="D357" s="38"/>
      <c r="E357" s="38"/>
      <c r="F357" s="38"/>
      <c r="G357" s="38"/>
    </row>
    <row r="358" ht="14.25" customHeight="1">
      <c r="A358" s="36"/>
      <c r="B358" s="31"/>
      <c r="D358" s="38"/>
      <c r="E358" s="38"/>
      <c r="F358" s="38"/>
      <c r="G358" s="38"/>
    </row>
    <row r="359" ht="14.25" customHeight="1">
      <c r="A359" s="36"/>
      <c r="B359" s="31"/>
      <c r="D359" s="38"/>
      <c r="E359" s="38"/>
      <c r="F359" s="38"/>
      <c r="G359" s="38"/>
    </row>
    <row r="360" ht="14.25" customHeight="1">
      <c r="A360" s="36"/>
      <c r="B360" s="31"/>
      <c r="D360" s="38"/>
      <c r="E360" s="38"/>
      <c r="F360" s="38"/>
      <c r="G360" s="38"/>
    </row>
    <row r="361" ht="14.25" customHeight="1">
      <c r="A361" s="36"/>
      <c r="B361" s="31"/>
      <c r="D361" s="38"/>
      <c r="E361" s="38"/>
      <c r="F361" s="38"/>
      <c r="G361" s="38"/>
    </row>
    <row r="362" ht="14.25" customHeight="1">
      <c r="A362" s="36"/>
      <c r="B362" s="31"/>
      <c r="D362" s="38"/>
      <c r="E362" s="38"/>
      <c r="F362" s="38"/>
      <c r="G362" s="38"/>
    </row>
    <row r="363" ht="14.25" customHeight="1">
      <c r="A363" s="36"/>
      <c r="B363" s="31"/>
      <c r="D363" s="38"/>
      <c r="E363" s="38"/>
      <c r="F363" s="38"/>
      <c r="G363" s="38"/>
    </row>
    <row r="364" ht="14.25" customHeight="1">
      <c r="A364" s="36"/>
      <c r="B364" s="31"/>
      <c r="D364" s="38"/>
      <c r="E364" s="38"/>
      <c r="F364" s="38"/>
      <c r="G364" s="38"/>
    </row>
    <row r="365" ht="14.25" customHeight="1">
      <c r="A365" s="36"/>
      <c r="B365" s="31"/>
      <c r="D365" s="38"/>
      <c r="E365" s="38"/>
      <c r="F365" s="38"/>
      <c r="G365" s="38"/>
    </row>
    <row r="366" ht="14.25" customHeight="1">
      <c r="A366" s="36"/>
      <c r="B366" s="31"/>
      <c r="D366" s="38"/>
      <c r="E366" s="38"/>
      <c r="F366" s="38"/>
      <c r="G366" s="38"/>
    </row>
    <row r="367" ht="14.25" customHeight="1">
      <c r="A367" s="36"/>
      <c r="B367" s="31"/>
      <c r="D367" s="38"/>
      <c r="E367" s="38"/>
      <c r="F367" s="38"/>
      <c r="G367" s="38"/>
    </row>
    <row r="368" ht="14.25" customHeight="1">
      <c r="A368" s="36"/>
      <c r="B368" s="31"/>
      <c r="D368" s="38"/>
      <c r="E368" s="38"/>
      <c r="F368" s="38"/>
      <c r="G368" s="38"/>
    </row>
    <row r="369" ht="14.25" customHeight="1">
      <c r="A369" s="36"/>
      <c r="B369" s="31"/>
      <c r="D369" s="38"/>
      <c r="E369" s="38"/>
      <c r="F369" s="38"/>
      <c r="G369" s="38"/>
    </row>
    <row r="370" ht="14.25" customHeight="1">
      <c r="A370" s="36"/>
      <c r="B370" s="31"/>
      <c r="D370" s="38"/>
      <c r="E370" s="38"/>
      <c r="F370" s="38"/>
      <c r="G370" s="38"/>
    </row>
    <row r="371" ht="14.25" customHeight="1">
      <c r="A371" s="36"/>
      <c r="B371" s="31"/>
      <c r="D371" s="38"/>
      <c r="E371" s="38"/>
      <c r="F371" s="38"/>
      <c r="G371" s="38"/>
    </row>
    <row r="372" ht="14.25" customHeight="1">
      <c r="A372" s="36"/>
      <c r="B372" s="31"/>
      <c r="D372" s="38"/>
      <c r="E372" s="38"/>
      <c r="F372" s="38"/>
      <c r="G372" s="38"/>
    </row>
    <row r="373" ht="14.25" customHeight="1">
      <c r="A373" s="36"/>
      <c r="B373" s="31"/>
      <c r="D373" s="38"/>
      <c r="E373" s="38"/>
      <c r="F373" s="38"/>
      <c r="G373" s="38"/>
    </row>
    <row r="374" ht="14.25" customHeight="1">
      <c r="A374" s="36"/>
      <c r="B374" s="31"/>
      <c r="D374" s="38"/>
      <c r="E374" s="38"/>
      <c r="F374" s="38"/>
      <c r="G374" s="38"/>
    </row>
    <row r="375" ht="14.25" customHeight="1">
      <c r="A375" s="36"/>
      <c r="B375" s="31"/>
      <c r="D375" s="38"/>
      <c r="E375" s="38"/>
      <c r="F375" s="38"/>
      <c r="G375" s="38"/>
    </row>
    <row r="376" ht="14.25" customHeight="1">
      <c r="A376" s="36"/>
      <c r="B376" s="31"/>
      <c r="D376" s="38"/>
      <c r="E376" s="38"/>
      <c r="F376" s="38"/>
      <c r="G376" s="38"/>
    </row>
    <row r="377" ht="14.25" customHeight="1">
      <c r="A377" s="36"/>
      <c r="B377" s="31"/>
      <c r="D377" s="38"/>
      <c r="E377" s="38"/>
      <c r="F377" s="38"/>
      <c r="G377" s="38"/>
    </row>
    <row r="378" ht="14.25" customHeight="1">
      <c r="A378" s="36"/>
      <c r="B378" s="31"/>
      <c r="D378" s="38"/>
      <c r="E378" s="38"/>
      <c r="F378" s="38"/>
      <c r="G378" s="38"/>
    </row>
    <row r="379" ht="14.25" customHeight="1">
      <c r="A379" s="36"/>
      <c r="B379" s="31"/>
      <c r="D379" s="38"/>
      <c r="E379" s="38"/>
      <c r="F379" s="38"/>
      <c r="G379" s="38"/>
    </row>
    <row r="380" ht="14.25" customHeight="1">
      <c r="A380" s="36"/>
      <c r="B380" s="31"/>
      <c r="D380" s="38"/>
      <c r="E380" s="38"/>
      <c r="F380" s="38"/>
      <c r="G380" s="38"/>
    </row>
    <row r="381" ht="14.25" customHeight="1">
      <c r="A381" s="36"/>
      <c r="B381" s="31"/>
      <c r="D381" s="38"/>
      <c r="E381" s="38"/>
      <c r="F381" s="38"/>
      <c r="G381" s="38"/>
    </row>
    <row r="382" ht="14.25" customHeight="1">
      <c r="A382" s="36"/>
      <c r="B382" s="31"/>
      <c r="D382" s="38"/>
      <c r="E382" s="38"/>
      <c r="F382" s="38"/>
      <c r="G382" s="38"/>
    </row>
    <row r="383" ht="14.25" customHeight="1">
      <c r="A383" s="36"/>
      <c r="B383" s="31"/>
      <c r="D383" s="38"/>
      <c r="E383" s="38"/>
      <c r="F383" s="38"/>
      <c r="G383" s="38"/>
    </row>
    <row r="384" ht="14.25" customHeight="1">
      <c r="A384" s="36"/>
      <c r="B384" s="31"/>
      <c r="D384" s="38"/>
      <c r="E384" s="38"/>
      <c r="F384" s="38"/>
      <c r="G384" s="38"/>
    </row>
    <row r="385" ht="14.25" customHeight="1">
      <c r="A385" s="36"/>
      <c r="B385" s="31"/>
      <c r="D385" s="38"/>
      <c r="E385" s="38"/>
      <c r="F385" s="38"/>
      <c r="G385" s="38"/>
    </row>
    <row r="386" ht="14.25" customHeight="1">
      <c r="A386" s="36"/>
      <c r="B386" s="31"/>
      <c r="D386" s="38"/>
      <c r="E386" s="38"/>
      <c r="F386" s="38"/>
      <c r="G386" s="38"/>
    </row>
    <row r="387" ht="14.25" customHeight="1">
      <c r="A387" s="36"/>
      <c r="B387" s="31"/>
      <c r="D387" s="38"/>
      <c r="E387" s="38"/>
      <c r="F387" s="38"/>
      <c r="G387" s="38"/>
    </row>
    <row r="388" ht="14.25" customHeight="1">
      <c r="A388" s="36"/>
      <c r="B388" s="31"/>
      <c r="D388" s="38"/>
      <c r="E388" s="38"/>
      <c r="F388" s="38"/>
      <c r="G388" s="38"/>
    </row>
    <row r="389" ht="14.25" customHeight="1">
      <c r="A389" s="36"/>
      <c r="B389" s="31"/>
      <c r="D389" s="38"/>
      <c r="E389" s="38"/>
      <c r="F389" s="38"/>
      <c r="G389" s="38"/>
    </row>
    <row r="390" ht="14.25" customHeight="1">
      <c r="A390" s="36"/>
      <c r="B390" s="31"/>
      <c r="D390" s="38"/>
      <c r="E390" s="38"/>
      <c r="F390" s="38"/>
      <c r="G390" s="38"/>
    </row>
    <row r="391" ht="14.25" customHeight="1">
      <c r="A391" s="36"/>
      <c r="B391" s="31"/>
      <c r="D391" s="38"/>
      <c r="E391" s="38"/>
      <c r="F391" s="38"/>
      <c r="G391" s="38"/>
    </row>
    <row r="392" ht="14.25" customHeight="1">
      <c r="A392" s="36"/>
      <c r="B392" s="31"/>
      <c r="D392" s="38"/>
      <c r="E392" s="38"/>
      <c r="F392" s="38"/>
      <c r="G392" s="38"/>
    </row>
    <row r="393" ht="14.25" customHeight="1">
      <c r="A393" s="36"/>
      <c r="B393" s="31"/>
      <c r="D393" s="38"/>
      <c r="E393" s="38"/>
      <c r="F393" s="38"/>
      <c r="G393" s="38"/>
    </row>
    <row r="394" ht="14.25" customHeight="1">
      <c r="A394" s="36"/>
      <c r="B394" s="31"/>
      <c r="D394" s="38"/>
      <c r="E394" s="38"/>
      <c r="F394" s="38"/>
      <c r="G394" s="38"/>
    </row>
    <row r="395" ht="14.25" customHeight="1">
      <c r="A395" s="36"/>
      <c r="B395" s="31"/>
      <c r="D395" s="38"/>
      <c r="E395" s="38"/>
      <c r="F395" s="38"/>
      <c r="G395" s="38"/>
    </row>
    <row r="396" ht="14.25" customHeight="1">
      <c r="A396" s="36"/>
      <c r="B396" s="31"/>
      <c r="D396" s="38"/>
      <c r="E396" s="38"/>
      <c r="F396" s="38"/>
      <c r="G396" s="38"/>
    </row>
    <row r="397" ht="14.25" customHeight="1">
      <c r="A397" s="36"/>
      <c r="B397" s="31"/>
      <c r="D397" s="38"/>
      <c r="E397" s="38"/>
      <c r="F397" s="38"/>
      <c r="G397" s="38"/>
    </row>
    <row r="398" ht="14.25" customHeight="1">
      <c r="A398" s="36"/>
      <c r="B398" s="31"/>
      <c r="D398" s="38"/>
      <c r="E398" s="38"/>
      <c r="F398" s="38"/>
      <c r="G398" s="38"/>
    </row>
    <row r="399" ht="14.25" customHeight="1">
      <c r="A399" s="36"/>
      <c r="B399" s="31"/>
      <c r="D399" s="38"/>
      <c r="E399" s="38"/>
      <c r="F399" s="38"/>
      <c r="G399" s="38"/>
    </row>
    <row r="400" ht="14.25" customHeight="1">
      <c r="A400" s="36"/>
      <c r="B400" s="31"/>
      <c r="D400" s="38"/>
      <c r="E400" s="38"/>
      <c r="F400" s="38"/>
      <c r="G400" s="38"/>
    </row>
    <row r="401" ht="14.25" customHeight="1">
      <c r="A401" s="36"/>
      <c r="B401" s="31"/>
      <c r="D401" s="38"/>
      <c r="E401" s="38"/>
      <c r="F401" s="38"/>
      <c r="G401" s="38"/>
    </row>
    <row r="402" ht="14.25" customHeight="1">
      <c r="A402" s="36"/>
      <c r="B402" s="31"/>
      <c r="D402" s="38"/>
      <c r="E402" s="38"/>
      <c r="F402" s="38"/>
      <c r="G402" s="38"/>
    </row>
    <row r="403" ht="14.25" customHeight="1">
      <c r="A403" s="36"/>
      <c r="B403" s="31"/>
      <c r="D403" s="38"/>
      <c r="E403" s="38"/>
      <c r="F403" s="38"/>
      <c r="G403" s="38"/>
    </row>
    <row r="404" ht="14.25" customHeight="1">
      <c r="A404" s="36"/>
      <c r="B404" s="31"/>
      <c r="D404" s="38"/>
      <c r="E404" s="38"/>
      <c r="F404" s="38"/>
      <c r="G404" s="38"/>
    </row>
    <row r="405" ht="14.25" customHeight="1">
      <c r="A405" s="36"/>
      <c r="B405" s="31"/>
      <c r="D405" s="38"/>
      <c r="E405" s="38"/>
      <c r="F405" s="38"/>
      <c r="G405" s="38"/>
    </row>
    <row r="406" ht="14.25" customHeight="1">
      <c r="A406" s="36"/>
      <c r="B406" s="31"/>
      <c r="D406" s="38"/>
      <c r="E406" s="38"/>
      <c r="F406" s="38"/>
      <c r="G406" s="38"/>
    </row>
    <row r="407" ht="14.25" customHeight="1">
      <c r="A407" s="36"/>
      <c r="B407" s="31"/>
      <c r="D407" s="38"/>
      <c r="E407" s="38"/>
      <c r="F407" s="38"/>
      <c r="G407" s="38"/>
    </row>
    <row r="408" ht="14.25" customHeight="1">
      <c r="A408" s="36"/>
      <c r="B408" s="31"/>
      <c r="D408" s="38"/>
      <c r="E408" s="38"/>
      <c r="F408" s="38"/>
      <c r="G408" s="38"/>
    </row>
    <row r="409" ht="14.25" customHeight="1">
      <c r="A409" s="36"/>
      <c r="B409" s="31"/>
      <c r="D409" s="38"/>
      <c r="E409" s="38"/>
      <c r="F409" s="38"/>
      <c r="G409" s="38"/>
    </row>
    <row r="410" ht="14.25" customHeight="1">
      <c r="A410" s="36"/>
      <c r="B410" s="31"/>
      <c r="D410" s="38"/>
      <c r="E410" s="38"/>
      <c r="F410" s="38"/>
      <c r="G410" s="38"/>
    </row>
    <row r="411" ht="14.25" customHeight="1">
      <c r="A411" s="36"/>
      <c r="B411" s="31"/>
      <c r="D411" s="38"/>
      <c r="E411" s="38"/>
      <c r="F411" s="38"/>
      <c r="G411" s="38"/>
    </row>
    <row r="412" ht="14.25" customHeight="1">
      <c r="A412" s="36"/>
      <c r="B412" s="31"/>
      <c r="D412" s="38"/>
      <c r="E412" s="38"/>
      <c r="F412" s="38"/>
      <c r="G412" s="38"/>
    </row>
    <row r="413" ht="14.25" customHeight="1">
      <c r="A413" s="36"/>
      <c r="B413" s="31"/>
      <c r="D413" s="38"/>
      <c r="E413" s="38"/>
      <c r="F413" s="38"/>
      <c r="G413" s="38"/>
    </row>
    <row r="414" ht="14.25" customHeight="1">
      <c r="A414" s="36"/>
      <c r="B414" s="31"/>
      <c r="D414" s="38"/>
      <c r="E414" s="38"/>
      <c r="F414" s="38"/>
      <c r="G414" s="38"/>
    </row>
    <row r="415" ht="14.25" customHeight="1">
      <c r="A415" s="36"/>
      <c r="B415" s="31"/>
      <c r="D415" s="38"/>
      <c r="E415" s="38"/>
      <c r="F415" s="38"/>
      <c r="G415" s="38"/>
    </row>
    <row r="416" ht="14.25" customHeight="1">
      <c r="A416" s="36"/>
      <c r="B416" s="31"/>
      <c r="D416" s="38"/>
      <c r="E416" s="38"/>
      <c r="F416" s="38"/>
      <c r="G416" s="38"/>
    </row>
    <row r="417" ht="14.25" customHeight="1">
      <c r="A417" s="36"/>
      <c r="B417" s="31"/>
      <c r="D417" s="38"/>
      <c r="E417" s="38"/>
      <c r="F417" s="38"/>
      <c r="G417" s="38"/>
    </row>
    <row r="418" ht="14.25" customHeight="1">
      <c r="A418" s="36"/>
      <c r="B418" s="31"/>
      <c r="D418" s="38"/>
      <c r="E418" s="38"/>
      <c r="F418" s="38"/>
      <c r="G418" s="38"/>
    </row>
    <row r="419" ht="14.25" customHeight="1">
      <c r="A419" s="36"/>
      <c r="B419" s="31"/>
      <c r="D419" s="38"/>
      <c r="E419" s="38"/>
      <c r="F419" s="38"/>
      <c r="G419" s="38"/>
    </row>
    <row r="420" ht="14.25" customHeight="1">
      <c r="A420" s="36"/>
      <c r="B420" s="31"/>
      <c r="D420" s="38"/>
      <c r="E420" s="38"/>
      <c r="F420" s="38"/>
      <c r="G420" s="38"/>
    </row>
    <row r="421" ht="14.25" customHeight="1">
      <c r="A421" s="36"/>
      <c r="B421" s="31"/>
      <c r="D421" s="38"/>
      <c r="E421" s="38"/>
      <c r="F421" s="38"/>
      <c r="G421" s="38"/>
    </row>
    <row r="422" ht="14.25" customHeight="1">
      <c r="A422" s="36"/>
      <c r="B422" s="31"/>
      <c r="D422" s="38"/>
      <c r="E422" s="38"/>
      <c r="F422" s="38"/>
      <c r="G422" s="38"/>
    </row>
    <row r="423" ht="14.25" customHeight="1">
      <c r="A423" s="36"/>
      <c r="B423" s="31"/>
      <c r="D423" s="38"/>
      <c r="E423" s="38"/>
      <c r="F423" s="38"/>
      <c r="G423" s="38"/>
    </row>
    <row r="424" ht="14.25" customHeight="1">
      <c r="A424" s="36"/>
      <c r="B424" s="31"/>
      <c r="D424" s="38"/>
      <c r="E424" s="38"/>
      <c r="F424" s="38"/>
      <c r="G424" s="38"/>
    </row>
    <row r="425" ht="14.25" customHeight="1">
      <c r="A425" s="36"/>
      <c r="B425" s="31"/>
      <c r="D425" s="38"/>
      <c r="E425" s="38"/>
      <c r="F425" s="38"/>
      <c r="G425" s="38"/>
    </row>
    <row r="426" ht="14.25" customHeight="1">
      <c r="A426" s="36"/>
      <c r="B426" s="31"/>
      <c r="D426" s="38"/>
      <c r="E426" s="38"/>
      <c r="F426" s="38"/>
      <c r="G426" s="38"/>
    </row>
    <row r="427" ht="14.25" customHeight="1">
      <c r="A427" s="36"/>
      <c r="B427" s="31"/>
      <c r="D427" s="38"/>
      <c r="E427" s="38"/>
      <c r="F427" s="38"/>
      <c r="G427" s="38"/>
    </row>
    <row r="428" ht="14.25" customHeight="1">
      <c r="A428" s="36"/>
      <c r="B428" s="31"/>
      <c r="D428" s="38"/>
      <c r="E428" s="38"/>
      <c r="F428" s="38"/>
      <c r="G428" s="38"/>
    </row>
    <row r="429" ht="14.25" customHeight="1">
      <c r="A429" s="36"/>
      <c r="B429" s="31"/>
      <c r="D429" s="38"/>
      <c r="E429" s="38"/>
      <c r="F429" s="38"/>
      <c r="G429" s="38"/>
    </row>
    <row r="430" ht="14.25" customHeight="1">
      <c r="A430" s="36"/>
      <c r="B430" s="31"/>
      <c r="D430" s="38"/>
      <c r="E430" s="38"/>
      <c r="F430" s="38"/>
      <c r="G430" s="38"/>
    </row>
    <row r="431" ht="14.25" customHeight="1">
      <c r="A431" s="36"/>
      <c r="B431" s="31"/>
      <c r="D431" s="38"/>
      <c r="E431" s="38"/>
      <c r="F431" s="38"/>
      <c r="G431" s="38"/>
    </row>
    <row r="432" ht="14.25" customHeight="1">
      <c r="A432" s="36"/>
      <c r="B432" s="31"/>
      <c r="D432" s="38"/>
      <c r="E432" s="38"/>
      <c r="F432" s="38"/>
      <c r="G432" s="38"/>
    </row>
    <row r="433" ht="14.25" customHeight="1">
      <c r="A433" s="36"/>
      <c r="B433" s="31"/>
      <c r="D433" s="38"/>
      <c r="E433" s="38"/>
      <c r="F433" s="38"/>
      <c r="G433" s="38"/>
    </row>
    <row r="434" ht="14.25" customHeight="1">
      <c r="A434" s="36"/>
      <c r="B434" s="31"/>
      <c r="D434" s="38"/>
      <c r="E434" s="38"/>
      <c r="F434" s="38"/>
      <c r="G434" s="38"/>
    </row>
    <row r="435" ht="14.25" customHeight="1">
      <c r="A435" s="36"/>
      <c r="B435" s="31"/>
      <c r="D435" s="38"/>
      <c r="E435" s="38"/>
      <c r="F435" s="38"/>
      <c r="G435" s="38"/>
    </row>
    <row r="436" ht="14.25" customHeight="1">
      <c r="A436" s="36"/>
      <c r="B436" s="31"/>
      <c r="D436" s="38"/>
      <c r="E436" s="38"/>
      <c r="F436" s="38"/>
      <c r="G436" s="38"/>
    </row>
    <row r="437" ht="14.25" customHeight="1">
      <c r="A437" s="36"/>
      <c r="B437" s="31"/>
      <c r="D437" s="38"/>
      <c r="E437" s="38"/>
      <c r="F437" s="38"/>
      <c r="G437" s="38"/>
    </row>
    <row r="438" ht="14.25" customHeight="1">
      <c r="A438" s="36"/>
      <c r="B438" s="31"/>
      <c r="D438" s="38"/>
      <c r="E438" s="38"/>
      <c r="F438" s="38"/>
      <c r="G438" s="38"/>
    </row>
    <row r="439" ht="14.25" customHeight="1">
      <c r="A439" s="36"/>
      <c r="B439" s="31"/>
      <c r="D439" s="38"/>
      <c r="E439" s="38"/>
      <c r="F439" s="38"/>
      <c r="G439" s="38"/>
    </row>
    <row r="440" ht="14.25" customHeight="1">
      <c r="A440" s="36"/>
      <c r="B440" s="31"/>
      <c r="D440" s="38"/>
      <c r="E440" s="38"/>
      <c r="F440" s="38"/>
      <c r="G440" s="38"/>
    </row>
    <row r="441" ht="14.25" customHeight="1">
      <c r="A441" s="36"/>
      <c r="B441" s="31"/>
      <c r="D441" s="38"/>
      <c r="E441" s="38"/>
      <c r="F441" s="38"/>
      <c r="G441" s="38"/>
    </row>
    <row r="442" ht="14.25" customHeight="1">
      <c r="A442" s="36"/>
      <c r="B442" s="31"/>
      <c r="D442" s="38"/>
      <c r="E442" s="38"/>
      <c r="F442" s="38"/>
      <c r="G442" s="38"/>
    </row>
    <row r="443" ht="14.25" customHeight="1">
      <c r="A443" s="36"/>
      <c r="B443" s="31"/>
      <c r="D443" s="38"/>
      <c r="E443" s="38"/>
      <c r="F443" s="38"/>
      <c r="G443" s="38"/>
    </row>
    <row r="444" ht="14.25" customHeight="1">
      <c r="A444" s="36"/>
      <c r="B444" s="31"/>
      <c r="D444" s="38"/>
      <c r="E444" s="38"/>
      <c r="F444" s="38"/>
      <c r="G444" s="38"/>
    </row>
    <row r="445" ht="14.25" customHeight="1">
      <c r="A445" s="36"/>
      <c r="B445" s="31"/>
      <c r="D445" s="38"/>
      <c r="E445" s="38"/>
      <c r="F445" s="38"/>
      <c r="G445" s="38"/>
    </row>
    <row r="446" ht="14.25" customHeight="1">
      <c r="A446" s="36"/>
      <c r="B446" s="31"/>
      <c r="D446" s="38"/>
      <c r="E446" s="38"/>
      <c r="F446" s="38"/>
      <c r="G446" s="38"/>
    </row>
    <row r="447" ht="14.25" customHeight="1">
      <c r="A447" s="36"/>
      <c r="B447" s="31"/>
      <c r="D447" s="38"/>
      <c r="E447" s="38"/>
      <c r="F447" s="38"/>
      <c r="G447" s="38"/>
    </row>
    <row r="448" ht="14.25" customHeight="1">
      <c r="A448" s="36"/>
      <c r="B448" s="31"/>
      <c r="D448" s="38"/>
      <c r="E448" s="38"/>
      <c r="F448" s="38"/>
      <c r="G448" s="38"/>
    </row>
    <row r="449" ht="14.25" customHeight="1">
      <c r="A449" s="36"/>
      <c r="B449" s="31"/>
      <c r="D449" s="38"/>
      <c r="E449" s="38"/>
      <c r="F449" s="38"/>
      <c r="G449" s="38"/>
    </row>
    <row r="450" ht="14.25" customHeight="1">
      <c r="A450" s="36"/>
      <c r="B450" s="31"/>
      <c r="D450" s="38"/>
      <c r="E450" s="38"/>
      <c r="F450" s="38"/>
      <c r="G450" s="38"/>
    </row>
    <row r="451" ht="14.25" customHeight="1">
      <c r="A451" s="36"/>
      <c r="B451" s="31"/>
      <c r="D451" s="38"/>
      <c r="E451" s="38"/>
      <c r="F451" s="38"/>
      <c r="G451" s="38"/>
    </row>
    <row r="452" ht="14.25" customHeight="1">
      <c r="A452" s="36"/>
      <c r="B452" s="31"/>
      <c r="D452" s="38"/>
      <c r="E452" s="38"/>
      <c r="F452" s="38"/>
      <c r="G452" s="38"/>
    </row>
    <row r="453" ht="14.25" customHeight="1">
      <c r="A453" s="36"/>
      <c r="B453" s="31"/>
      <c r="D453" s="38"/>
      <c r="E453" s="38"/>
      <c r="F453" s="38"/>
      <c r="G453" s="38"/>
    </row>
    <row r="454" ht="14.25" customHeight="1">
      <c r="A454" s="36"/>
      <c r="B454" s="31"/>
      <c r="D454" s="38"/>
      <c r="E454" s="38"/>
      <c r="F454" s="38"/>
      <c r="G454" s="38"/>
    </row>
    <row r="455" ht="14.25" customHeight="1">
      <c r="A455" s="36"/>
      <c r="B455" s="31"/>
      <c r="D455" s="38"/>
      <c r="E455" s="38"/>
      <c r="F455" s="38"/>
      <c r="G455" s="38"/>
    </row>
    <row r="456" ht="14.25" customHeight="1">
      <c r="A456" s="36"/>
      <c r="B456" s="31"/>
      <c r="D456" s="38"/>
      <c r="E456" s="38"/>
      <c r="F456" s="38"/>
      <c r="G456" s="38"/>
    </row>
    <row r="457" ht="14.25" customHeight="1">
      <c r="A457" s="36"/>
      <c r="B457" s="31"/>
      <c r="D457" s="38"/>
      <c r="E457" s="38"/>
      <c r="F457" s="38"/>
      <c r="G457" s="38"/>
    </row>
    <row r="458" ht="14.25" customHeight="1">
      <c r="A458" s="36"/>
      <c r="B458" s="31"/>
      <c r="D458" s="38"/>
      <c r="E458" s="38"/>
      <c r="F458" s="38"/>
      <c r="G458" s="38"/>
    </row>
    <row r="459" ht="14.25" customHeight="1">
      <c r="A459" s="36"/>
      <c r="B459" s="31"/>
      <c r="D459" s="38"/>
      <c r="E459" s="38"/>
      <c r="F459" s="38"/>
      <c r="G459" s="38"/>
    </row>
    <row r="460" ht="14.25" customHeight="1">
      <c r="A460" s="36"/>
      <c r="B460" s="31"/>
      <c r="D460" s="38"/>
      <c r="E460" s="38"/>
      <c r="F460" s="38"/>
      <c r="G460" s="38"/>
    </row>
    <row r="461" ht="14.25" customHeight="1">
      <c r="A461" s="36"/>
      <c r="B461" s="31"/>
      <c r="D461" s="38"/>
      <c r="E461" s="38"/>
      <c r="F461" s="38"/>
      <c r="G461" s="38"/>
    </row>
    <row r="462" ht="14.25" customHeight="1">
      <c r="A462" s="36"/>
      <c r="B462" s="31"/>
      <c r="D462" s="38"/>
      <c r="E462" s="38"/>
      <c r="F462" s="38"/>
      <c r="G462" s="38"/>
    </row>
    <row r="463" ht="14.25" customHeight="1">
      <c r="A463" s="36"/>
      <c r="B463" s="31"/>
      <c r="D463" s="38"/>
      <c r="E463" s="38"/>
      <c r="F463" s="38"/>
      <c r="G463" s="38"/>
    </row>
    <row r="464" ht="14.25" customHeight="1">
      <c r="A464" s="36"/>
      <c r="B464" s="31"/>
      <c r="D464" s="38"/>
      <c r="E464" s="38"/>
      <c r="F464" s="38"/>
      <c r="G464" s="38"/>
    </row>
    <row r="465" ht="14.25" customHeight="1">
      <c r="A465" s="36"/>
      <c r="B465" s="31"/>
      <c r="D465" s="38"/>
      <c r="E465" s="38"/>
      <c r="F465" s="38"/>
      <c r="G465" s="38"/>
    </row>
    <row r="466" ht="14.25" customHeight="1">
      <c r="A466" s="36"/>
      <c r="B466" s="31"/>
      <c r="D466" s="38"/>
      <c r="E466" s="38"/>
      <c r="F466" s="38"/>
      <c r="G466" s="38"/>
    </row>
    <row r="467" ht="14.25" customHeight="1">
      <c r="A467" s="36"/>
      <c r="B467" s="31"/>
      <c r="D467" s="38"/>
      <c r="E467" s="38"/>
      <c r="F467" s="38"/>
      <c r="G467" s="38"/>
    </row>
    <row r="468" ht="14.25" customHeight="1">
      <c r="A468" s="36"/>
      <c r="B468" s="31"/>
      <c r="D468" s="38"/>
      <c r="E468" s="38"/>
      <c r="F468" s="38"/>
      <c r="G468" s="38"/>
    </row>
    <row r="469" ht="14.25" customHeight="1">
      <c r="A469" s="36"/>
      <c r="B469" s="31"/>
      <c r="D469" s="38"/>
      <c r="E469" s="38"/>
      <c r="F469" s="38"/>
      <c r="G469" s="38"/>
    </row>
    <row r="470" ht="14.25" customHeight="1">
      <c r="A470" s="36"/>
      <c r="B470" s="31"/>
      <c r="D470" s="38"/>
      <c r="E470" s="38"/>
      <c r="F470" s="38"/>
      <c r="G470" s="38"/>
    </row>
    <row r="471" ht="14.25" customHeight="1">
      <c r="A471" s="36"/>
      <c r="B471" s="31"/>
      <c r="D471" s="38"/>
      <c r="E471" s="38"/>
      <c r="F471" s="38"/>
      <c r="G471" s="38"/>
    </row>
    <row r="472" ht="14.25" customHeight="1">
      <c r="A472" s="36"/>
      <c r="B472" s="31"/>
      <c r="D472" s="38"/>
      <c r="E472" s="38"/>
      <c r="F472" s="38"/>
      <c r="G472" s="38"/>
    </row>
    <row r="473" ht="14.25" customHeight="1">
      <c r="A473" s="36"/>
      <c r="B473" s="31"/>
      <c r="D473" s="38"/>
      <c r="E473" s="38"/>
      <c r="F473" s="38"/>
      <c r="G473" s="38"/>
    </row>
    <row r="474" ht="14.25" customHeight="1">
      <c r="A474" s="36"/>
      <c r="B474" s="31"/>
      <c r="D474" s="38"/>
      <c r="E474" s="38"/>
      <c r="F474" s="38"/>
      <c r="G474" s="38"/>
    </row>
    <row r="475" ht="14.25" customHeight="1">
      <c r="A475" s="36"/>
      <c r="B475" s="31"/>
      <c r="D475" s="38"/>
      <c r="E475" s="38"/>
      <c r="F475" s="38"/>
      <c r="G475" s="38"/>
    </row>
    <row r="476" ht="14.25" customHeight="1">
      <c r="A476" s="36"/>
      <c r="B476" s="31"/>
      <c r="D476" s="38"/>
      <c r="E476" s="38"/>
      <c r="F476" s="38"/>
      <c r="G476" s="38"/>
    </row>
    <row r="477" ht="14.25" customHeight="1">
      <c r="A477" s="36"/>
      <c r="B477" s="31"/>
      <c r="D477" s="38"/>
      <c r="E477" s="38"/>
      <c r="F477" s="38"/>
      <c r="G477" s="38"/>
    </row>
    <row r="478" ht="14.25" customHeight="1">
      <c r="A478" s="36"/>
      <c r="B478" s="31"/>
      <c r="D478" s="38"/>
      <c r="E478" s="38"/>
      <c r="F478" s="38"/>
      <c r="G478" s="38"/>
    </row>
    <row r="479" ht="14.25" customHeight="1">
      <c r="A479" s="36"/>
      <c r="B479" s="31"/>
      <c r="D479" s="38"/>
      <c r="E479" s="38"/>
      <c r="F479" s="38"/>
      <c r="G479" s="38"/>
    </row>
    <row r="480" ht="14.25" customHeight="1">
      <c r="A480" s="36"/>
      <c r="B480" s="31"/>
      <c r="D480" s="38"/>
      <c r="E480" s="38"/>
      <c r="F480" s="38"/>
      <c r="G480" s="38"/>
    </row>
    <row r="481" ht="14.25" customHeight="1">
      <c r="A481" s="36"/>
      <c r="B481" s="31"/>
      <c r="D481" s="38"/>
      <c r="E481" s="38"/>
      <c r="F481" s="38"/>
      <c r="G481" s="38"/>
    </row>
    <row r="482" ht="14.25" customHeight="1">
      <c r="A482" s="36"/>
      <c r="B482" s="31"/>
      <c r="D482" s="38"/>
      <c r="E482" s="38"/>
      <c r="F482" s="38"/>
      <c r="G482" s="38"/>
    </row>
    <row r="483" ht="14.25" customHeight="1">
      <c r="A483" s="36"/>
      <c r="B483" s="31"/>
      <c r="D483" s="38"/>
      <c r="E483" s="38"/>
      <c r="F483" s="38"/>
      <c r="G483" s="38"/>
    </row>
    <row r="484" ht="14.25" customHeight="1">
      <c r="A484" s="36"/>
      <c r="B484" s="31"/>
      <c r="D484" s="38"/>
      <c r="E484" s="38"/>
      <c r="F484" s="38"/>
      <c r="G484" s="38"/>
    </row>
    <row r="485" ht="14.25" customHeight="1">
      <c r="A485" s="36"/>
      <c r="B485" s="31"/>
      <c r="D485" s="38"/>
      <c r="E485" s="38"/>
      <c r="F485" s="38"/>
      <c r="G485" s="38"/>
    </row>
    <row r="486" ht="14.25" customHeight="1">
      <c r="A486" s="36"/>
      <c r="B486" s="31"/>
      <c r="D486" s="38"/>
      <c r="E486" s="38"/>
      <c r="F486" s="38"/>
      <c r="G486" s="38"/>
    </row>
    <row r="487" ht="14.25" customHeight="1">
      <c r="A487" s="36"/>
      <c r="B487" s="31"/>
      <c r="D487" s="38"/>
      <c r="E487" s="38"/>
      <c r="F487" s="38"/>
      <c r="G487" s="38"/>
    </row>
    <row r="488" ht="14.25" customHeight="1">
      <c r="A488" s="36"/>
      <c r="B488" s="31"/>
      <c r="D488" s="38"/>
      <c r="E488" s="38"/>
      <c r="F488" s="38"/>
      <c r="G488" s="38"/>
    </row>
    <row r="489" ht="14.25" customHeight="1">
      <c r="A489" s="36"/>
      <c r="B489" s="31"/>
      <c r="D489" s="38"/>
      <c r="E489" s="38"/>
      <c r="F489" s="38"/>
      <c r="G489" s="38"/>
    </row>
    <row r="490" ht="14.25" customHeight="1">
      <c r="A490" s="36"/>
      <c r="B490" s="31"/>
      <c r="D490" s="38"/>
      <c r="E490" s="38"/>
      <c r="F490" s="38"/>
      <c r="G490" s="38"/>
    </row>
    <row r="491" ht="14.25" customHeight="1">
      <c r="A491" s="36"/>
      <c r="B491" s="31"/>
      <c r="D491" s="38"/>
      <c r="E491" s="38"/>
      <c r="F491" s="38"/>
      <c r="G491" s="38"/>
    </row>
    <row r="492" ht="14.25" customHeight="1">
      <c r="A492" s="36"/>
      <c r="B492" s="31"/>
      <c r="D492" s="38"/>
      <c r="E492" s="38"/>
      <c r="F492" s="38"/>
      <c r="G492" s="38"/>
    </row>
    <row r="493" ht="14.25" customHeight="1">
      <c r="A493" s="36"/>
      <c r="B493" s="31"/>
      <c r="D493" s="38"/>
      <c r="E493" s="38"/>
      <c r="F493" s="38"/>
      <c r="G493" s="38"/>
    </row>
    <row r="494" ht="14.25" customHeight="1">
      <c r="A494" s="36"/>
      <c r="B494" s="31"/>
      <c r="D494" s="38"/>
      <c r="E494" s="38"/>
      <c r="F494" s="38"/>
      <c r="G494" s="38"/>
    </row>
    <row r="495" ht="14.25" customHeight="1">
      <c r="A495" s="36"/>
      <c r="B495" s="31"/>
      <c r="D495" s="38"/>
      <c r="E495" s="38"/>
      <c r="F495" s="38"/>
      <c r="G495" s="38"/>
    </row>
    <row r="496" ht="14.25" customHeight="1">
      <c r="A496" s="36"/>
      <c r="B496" s="31"/>
      <c r="D496" s="38"/>
      <c r="E496" s="38"/>
      <c r="F496" s="38"/>
      <c r="G496" s="38"/>
    </row>
    <row r="497" ht="14.25" customHeight="1">
      <c r="A497" s="36"/>
      <c r="B497" s="31"/>
      <c r="D497" s="38"/>
      <c r="E497" s="38"/>
      <c r="F497" s="38"/>
      <c r="G497" s="38"/>
    </row>
    <row r="498" ht="14.25" customHeight="1">
      <c r="A498" s="36"/>
      <c r="B498" s="31"/>
      <c r="D498" s="38"/>
      <c r="E498" s="38"/>
      <c r="F498" s="38"/>
      <c r="G498" s="38"/>
    </row>
    <row r="499" ht="14.25" customHeight="1">
      <c r="A499" s="36"/>
      <c r="B499" s="31"/>
      <c r="D499" s="38"/>
      <c r="E499" s="38"/>
      <c r="F499" s="38"/>
      <c r="G499" s="38"/>
    </row>
    <row r="500" ht="14.25" customHeight="1">
      <c r="A500" s="36"/>
      <c r="B500" s="31"/>
      <c r="D500" s="38"/>
      <c r="E500" s="38"/>
      <c r="F500" s="38"/>
      <c r="G500" s="38"/>
    </row>
    <row r="501" ht="14.25" customHeight="1">
      <c r="A501" s="36"/>
      <c r="B501" s="31"/>
      <c r="D501" s="38"/>
      <c r="E501" s="38"/>
      <c r="F501" s="38"/>
      <c r="G501" s="38"/>
    </row>
    <row r="502" ht="14.25" customHeight="1">
      <c r="A502" s="36"/>
      <c r="B502" s="31"/>
      <c r="D502" s="38"/>
      <c r="E502" s="38"/>
      <c r="F502" s="38"/>
      <c r="G502" s="38"/>
    </row>
    <row r="503" ht="14.25" customHeight="1">
      <c r="A503" s="36"/>
      <c r="B503" s="31"/>
      <c r="D503" s="38"/>
      <c r="E503" s="38"/>
      <c r="F503" s="38"/>
      <c r="G503" s="38"/>
    </row>
    <row r="504" ht="14.25" customHeight="1">
      <c r="A504" s="36"/>
      <c r="B504" s="31"/>
      <c r="D504" s="38"/>
      <c r="E504" s="38"/>
      <c r="F504" s="38"/>
      <c r="G504" s="38"/>
    </row>
    <row r="505" ht="14.25" customHeight="1">
      <c r="A505" s="36"/>
      <c r="B505" s="31"/>
      <c r="D505" s="38"/>
      <c r="E505" s="38"/>
      <c r="F505" s="38"/>
      <c r="G505" s="38"/>
    </row>
    <row r="506" ht="14.25" customHeight="1">
      <c r="A506" s="36"/>
      <c r="B506" s="31"/>
      <c r="D506" s="38"/>
      <c r="E506" s="38"/>
      <c r="F506" s="38"/>
      <c r="G506" s="38"/>
    </row>
    <row r="507" ht="14.25" customHeight="1">
      <c r="A507" s="36"/>
      <c r="B507" s="31"/>
      <c r="D507" s="38"/>
      <c r="E507" s="38"/>
      <c r="F507" s="38"/>
      <c r="G507" s="38"/>
    </row>
    <row r="508" ht="14.25" customHeight="1">
      <c r="A508" s="36"/>
      <c r="B508" s="31"/>
      <c r="D508" s="38"/>
      <c r="E508" s="38"/>
      <c r="F508" s="38"/>
      <c r="G508" s="38"/>
    </row>
    <row r="509" ht="14.25" customHeight="1">
      <c r="A509" s="36"/>
      <c r="B509" s="31"/>
      <c r="D509" s="38"/>
      <c r="E509" s="38"/>
      <c r="F509" s="38"/>
      <c r="G509" s="38"/>
    </row>
    <row r="510" ht="14.25" customHeight="1">
      <c r="A510" s="36"/>
      <c r="B510" s="31"/>
      <c r="D510" s="38"/>
      <c r="E510" s="38"/>
      <c r="F510" s="38"/>
      <c r="G510" s="38"/>
    </row>
    <row r="511" ht="14.25" customHeight="1">
      <c r="A511" s="36"/>
      <c r="B511" s="31"/>
      <c r="D511" s="38"/>
      <c r="E511" s="38"/>
      <c r="F511" s="38"/>
      <c r="G511" s="38"/>
    </row>
    <row r="512" ht="14.25" customHeight="1">
      <c r="A512" s="36"/>
      <c r="B512" s="31"/>
      <c r="D512" s="38"/>
      <c r="E512" s="38"/>
      <c r="F512" s="38"/>
      <c r="G512" s="38"/>
    </row>
    <row r="513" ht="14.25" customHeight="1">
      <c r="A513" s="36"/>
      <c r="B513" s="31"/>
      <c r="D513" s="38"/>
      <c r="E513" s="38"/>
      <c r="F513" s="38"/>
      <c r="G513" s="38"/>
    </row>
    <row r="514" ht="14.25" customHeight="1">
      <c r="A514" s="36"/>
      <c r="B514" s="31"/>
      <c r="D514" s="38"/>
      <c r="E514" s="38"/>
      <c r="F514" s="38"/>
      <c r="G514" s="38"/>
    </row>
    <row r="515" ht="14.25" customHeight="1">
      <c r="A515" s="36"/>
      <c r="B515" s="31"/>
      <c r="D515" s="38"/>
      <c r="E515" s="38"/>
      <c r="F515" s="38"/>
      <c r="G515" s="38"/>
    </row>
    <row r="516" ht="14.25" customHeight="1">
      <c r="A516" s="36"/>
      <c r="B516" s="31"/>
      <c r="D516" s="38"/>
      <c r="E516" s="38"/>
      <c r="F516" s="38"/>
      <c r="G516" s="38"/>
    </row>
    <row r="517" ht="14.25" customHeight="1">
      <c r="A517" s="36"/>
      <c r="B517" s="31"/>
      <c r="D517" s="38"/>
      <c r="E517" s="38"/>
      <c r="F517" s="38"/>
      <c r="G517" s="38"/>
    </row>
    <row r="518" ht="14.25" customHeight="1">
      <c r="A518" s="36"/>
      <c r="B518" s="31"/>
      <c r="D518" s="38"/>
      <c r="E518" s="38"/>
      <c r="F518" s="38"/>
      <c r="G518" s="38"/>
    </row>
    <row r="519" ht="14.25" customHeight="1">
      <c r="A519" s="36"/>
      <c r="B519" s="31"/>
      <c r="D519" s="38"/>
      <c r="E519" s="38"/>
      <c r="F519" s="38"/>
      <c r="G519" s="38"/>
    </row>
    <row r="520" ht="14.25" customHeight="1">
      <c r="A520" s="36"/>
      <c r="B520" s="31"/>
      <c r="D520" s="38"/>
      <c r="E520" s="38"/>
      <c r="F520" s="38"/>
      <c r="G520" s="38"/>
    </row>
    <row r="521" ht="14.25" customHeight="1">
      <c r="A521" s="36"/>
      <c r="B521" s="31"/>
      <c r="D521" s="38"/>
      <c r="E521" s="38"/>
      <c r="F521" s="38"/>
      <c r="G521" s="38"/>
    </row>
    <row r="522" ht="14.25" customHeight="1">
      <c r="A522" s="36"/>
      <c r="B522" s="31"/>
      <c r="D522" s="38"/>
      <c r="E522" s="38"/>
      <c r="F522" s="38"/>
      <c r="G522" s="38"/>
    </row>
    <row r="523" ht="14.25" customHeight="1">
      <c r="A523" s="36"/>
      <c r="B523" s="31"/>
      <c r="D523" s="38"/>
      <c r="E523" s="38"/>
      <c r="F523" s="38"/>
      <c r="G523" s="38"/>
    </row>
    <row r="524" ht="14.25" customHeight="1">
      <c r="A524" s="36"/>
      <c r="B524" s="31"/>
      <c r="D524" s="38"/>
      <c r="E524" s="38"/>
      <c r="F524" s="38"/>
      <c r="G524" s="38"/>
    </row>
    <row r="525" ht="14.25" customHeight="1">
      <c r="A525" s="36"/>
      <c r="B525" s="31"/>
      <c r="D525" s="38"/>
      <c r="E525" s="38"/>
      <c r="F525" s="38"/>
      <c r="G525" s="38"/>
    </row>
    <row r="526" ht="14.25" customHeight="1">
      <c r="A526" s="36"/>
      <c r="B526" s="31"/>
      <c r="D526" s="38"/>
      <c r="E526" s="38"/>
      <c r="F526" s="38"/>
      <c r="G526" s="38"/>
    </row>
    <row r="527" ht="14.25" customHeight="1">
      <c r="A527" s="36"/>
      <c r="B527" s="31"/>
      <c r="D527" s="38"/>
      <c r="E527" s="38"/>
      <c r="F527" s="38"/>
      <c r="G527" s="38"/>
    </row>
    <row r="528" ht="14.25" customHeight="1">
      <c r="A528" s="36"/>
      <c r="B528" s="31"/>
      <c r="D528" s="38"/>
      <c r="E528" s="38"/>
      <c r="F528" s="38"/>
      <c r="G528" s="38"/>
    </row>
    <row r="529" ht="14.25" customHeight="1">
      <c r="A529" s="36"/>
      <c r="B529" s="31"/>
      <c r="D529" s="38"/>
      <c r="E529" s="38"/>
      <c r="F529" s="38"/>
      <c r="G529" s="38"/>
    </row>
    <row r="530" ht="14.25" customHeight="1">
      <c r="A530" s="36"/>
      <c r="B530" s="31"/>
      <c r="D530" s="38"/>
      <c r="E530" s="38"/>
      <c r="F530" s="38"/>
      <c r="G530" s="38"/>
    </row>
    <row r="531" ht="14.25" customHeight="1">
      <c r="A531" s="36"/>
      <c r="B531" s="31"/>
      <c r="D531" s="38"/>
      <c r="E531" s="38"/>
      <c r="F531" s="38"/>
      <c r="G531" s="38"/>
    </row>
    <row r="532" ht="14.25" customHeight="1">
      <c r="A532" s="36"/>
      <c r="B532" s="31"/>
      <c r="D532" s="38"/>
      <c r="E532" s="38"/>
      <c r="F532" s="38"/>
      <c r="G532" s="38"/>
    </row>
    <row r="533" ht="14.25" customHeight="1">
      <c r="A533" s="36"/>
      <c r="B533" s="31"/>
      <c r="D533" s="38"/>
      <c r="E533" s="38"/>
      <c r="F533" s="38"/>
      <c r="G533" s="38"/>
    </row>
    <row r="534" ht="14.25" customHeight="1">
      <c r="A534" s="36"/>
      <c r="B534" s="31"/>
      <c r="D534" s="38"/>
      <c r="E534" s="38"/>
      <c r="F534" s="38"/>
      <c r="G534" s="38"/>
    </row>
    <row r="535" ht="14.25" customHeight="1">
      <c r="A535" s="36"/>
      <c r="B535" s="31"/>
      <c r="D535" s="38"/>
      <c r="E535" s="38"/>
      <c r="F535" s="38"/>
      <c r="G535" s="38"/>
    </row>
    <row r="536" ht="14.25" customHeight="1">
      <c r="A536" s="36"/>
      <c r="B536" s="31"/>
      <c r="D536" s="38"/>
      <c r="E536" s="38"/>
      <c r="F536" s="38"/>
      <c r="G536" s="38"/>
    </row>
    <row r="537" ht="14.25" customHeight="1">
      <c r="A537" s="36"/>
      <c r="B537" s="31"/>
      <c r="D537" s="38"/>
      <c r="E537" s="38"/>
      <c r="F537" s="38"/>
      <c r="G537" s="38"/>
    </row>
    <row r="538" ht="14.25" customHeight="1">
      <c r="A538" s="36"/>
      <c r="B538" s="31"/>
      <c r="D538" s="38"/>
      <c r="E538" s="38"/>
      <c r="F538" s="38"/>
      <c r="G538" s="38"/>
    </row>
    <row r="539" ht="14.25" customHeight="1">
      <c r="A539" s="36"/>
      <c r="B539" s="31"/>
      <c r="D539" s="38"/>
      <c r="E539" s="38"/>
      <c r="F539" s="38"/>
      <c r="G539" s="38"/>
    </row>
    <row r="540" ht="14.25" customHeight="1">
      <c r="A540" s="36"/>
      <c r="B540" s="31"/>
      <c r="D540" s="38"/>
      <c r="E540" s="38"/>
      <c r="F540" s="38"/>
      <c r="G540" s="38"/>
    </row>
    <row r="541" ht="14.25" customHeight="1">
      <c r="A541" s="36"/>
      <c r="B541" s="31"/>
      <c r="D541" s="38"/>
      <c r="E541" s="38"/>
      <c r="F541" s="38"/>
      <c r="G541" s="38"/>
    </row>
    <row r="542" ht="14.25" customHeight="1">
      <c r="A542" s="36"/>
      <c r="B542" s="31"/>
      <c r="D542" s="38"/>
      <c r="E542" s="38"/>
      <c r="F542" s="38"/>
      <c r="G542" s="38"/>
    </row>
    <row r="543" ht="14.25" customHeight="1">
      <c r="A543" s="36"/>
      <c r="B543" s="31"/>
      <c r="D543" s="38"/>
      <c r="E543" s="38"/>
      <c r="F543" s="38"/>
      <c r="G543" s="38"/>
    </row>
    <row r="544" ht="14.25" customHeight="1">
      <c r="A544" s="36"/>
      <c r="B544" s="31"/>
      <c r="D544" s="38"/>
      <c r="E544" s="38"/>
      <c r="F544" s="38"/>
      <c r="G544" s="38"/>
    </row>
    <row r="545" ht="14.25" customHeight="1">
      <c r="A545" s="36"/>
      <c r="B545" s="31"/>
      <c r="D545" s="38"/>
      <c r="E545" s="38"/>
      <c r="F545" s="38"/>
      <c r="G545" s="38"/>
    </row>
    <row r="546" ht="14.25" customHeight="1">
      <c r="A546" s="36"/>
      <c r="B546" s="31"/>
      <c r="D546" s="38"/>
      <c r="E546" s="38"/>
      <c r="F546" s="38"/>
      <c r="G546" s="38"/>
    </row>
    <row r="547" ht="14.25" customHeight="1">
      <c r="A547" s="36"/>
      <c r="B547" s="31"/>
      <c r="D547" s="38"/>
      <c r="E547" s="38"/>
      <c r="F547" s="38"/>
      <c r="G547" s="38"/>
    </row>
    <row r="548" ht="14.25" customHeight="1">
      <c r="A548" s="36"/>
      <c r="B548" s="31"/>
      <c r="D548" s="38"/>
      <c r="E548" s="38"/>
      <c r="F548" s="38"/>
      <c r="G548" s="38"/>
    </row>
    <row r="549" ht="14.25" customHeight="1">
      <c r="A549" s="36"/>
      <c r="B549" s="31"/>
      <c r="D549" s="38"/>
      <c r="E549" s="38"/>
      <c r="F549" s="38"/>
      <c r="G549" s="38"/>
    </row>
    <row r="550" ht="14.25" customHeight="1">
      <c r="A550" s="36"/>
      <c r="B550" s="31"/>
      <c r="D550" s="38"/>
      <c r="E550" s="38"/>
      <c r="F550" s="38"/>
      <c r="G550" s="38"/>
    </row>
    <row r="551" ht="14.25" customHeight="1">
      <c r="A551" s="36"/>
      <c r="B551" s="31"/>
      <c r="D551" s="38"/>
      <c r="E551" s="38"/>
      <c r="F551" s="38"/>
      <c r="G551" s="38"/>
    </row>
    <row r="552" ht="14.25" customHeight="1">
      <c r="A552" s="36"/>
      <c r="B552" s="31"/>
      <c r="D552" s="38"/>
      <c r="E552" s="38"/>
      <c r="F552" s="38"/>
      <c r="G552" s="38"/>
    </row>
    <row r="553" ht="14.25" customHeight="1">
      <c r="A553" s="36"/>
      <c r="B553" s="31"/>
      <c r="D553" s="38"/>
      <c r="E553" s="38"/>
      <c r="F553" s="38"/>
      <c r="G553" s="38"/>
    </row>
    <row r="554" ht="14.25" customHeight="1">
      <c r="A554" s="36"/>
      <c r="B554" s="31"/>
      <c r="D554" s="38"/>
      <c r="E554" s="38"/>
      <c r="F554" s="38"/>
      <c r="G554" s="38"/>
    </row>
    <row r="555" ht="14.25" customHeight="1">
      <c r="A555" s="36"/>
      <c r="B555" s="31"/>
      <c r="D555" s="38"/>
      <c r="E555" s="38"/>
      <c r="F555" s="38"/>
      <c r="G555" s="38"/>
    </row>
    <row r="556" ht="14.25" customHeight="1">
      <c r="A556" s="36"/>
      <c r="B556" s="31"/>
      <c r="D556" s="38"/>
      <c r="E556" s="38"/>
      <c r="F556" s="38"/>
      <c r="G556" s="38"/>
    </row>
    <row r="557" ht="14.25" customHeight="1">
      <c r="A557" s="36"/>
      <c r="B557" s="31"/>
      <c r="D557" s="38"/>
      <c r="E557" s="38"/>
      <c r="F557" s="38"/>
      <c r="G557" s="38"/>
    </row>
    <row r="558" ht="14.25" customHeight="1">
      <c r="A558" s="36"/>
      <c r="B558" s="31"/>
      <c r="D558" s="38"/>
      <c r="E558" s="38"/>
      <c r="F558" s="38"/>
      <c r="G558" s="38"/>
    </row>
    <row r="559" ht="14.25" customHeight="1">
      <c r="A559" s="36"/>
      <c r="B559" s="31"/>
      <c r="D559" s="38"/>
      <c r="E559" s="38"/>
      <c r="F559" s="38"/>
      <c r="G559" s="38"/>
    </row>
    <row r="560" ht="14.25" customHeight="1">
      <c r="A560" s="36"/>
      <c r="B560" s="31"/>
      <c r="D560" s="38"/>
      <c r="E560" s="38"/>
      <c r="F560" s="38"/>
      <c r="G560" s="38"/>
    </row>
    <row r="561" ht="14.25" customHeight="1">
      <c r="A561" s="36"/>
      <c r="B561" s="31"/>
      <c r="D561" s="38"/>
      <c r="E561" s="38"/>
      <c r="F561" s="38"/>
      <c r="G561" s="38"/>
    </row>
    <row r="562" ht="14.25" customHeight="1">
      <c r="A562" s="36"/>
      <c r="B562" s="31"/>
      <c r="D562" s="38"/>
      <c r="E562" s="38"/>
      <c r="F562" s="38"/>
      <c r="G562" s="38"/>
    </row>
    <row r="563" ht="14.25" customHeight="1">
      <c r="A563" s="36"/>
      <c r="B563" s="31"/>
      <c r="D563" s="38"/>
      <c r="E563" s="38"/>
      <c r="F563" s="38"/>
      <c r="G563" s="38"/>
    </row>
    <row r="564" ht="14.25" customHeight="1">
      <c r="A564" s="36"/>
      <c r="B564" s="31"/>
      <c r="D564" s="38"/>
      <c r="E564" s="38"/>
      <c r="F564" s="38"/>
      <c r="G564" s="38"/>
    </row>
    <row r="565" ht="14.25" customHeight="1">
      <c r="A565" s="36"/>
      <c r="B565" s="31"/>
      <c r="D565" s="38"/>
      <c r="E565" s="38"/>
      <c r="F565" s="38"/>
      <c r="G565" s="38"/>
    </row>
    <row r="566" ht="14.25" customHeight="1">
      <c r="A566" s="36"/>
      <c r="B566" s="31"/>
      <c r="D566" s="38"/>
      <c r="E566" s="38"/>
      <c r="F566" s="38"/>
      <c r="G566" s="38"/>
    </row>
    <row r="567" ht="14.25" customHeight="1">
      <c r="A567" s="36"/>
      <c r="B567" s="31"/>
      <c r="D567" s="38"/>
      <c r="E567" s="38"/>
      <c r="F567" s="38"/>
      <c r="G567" s="38"/>
    </row>
    <row r="568" ht="14.25" customHeight="1">
      <c r="A568" s="36"/>
      <c r="B568" s="31"/>
      <c r="D568" s="38"/>
      <c r="E568" s="38"/>
      <c r="F568" s="38"/>
      <c r="G568" s="38"/>
    </row>
    <row r="569" ht="14.25" customHeight="1">
      <c r="A569" s="36"/>
      <c r="B569" s="31"/>
      <c r="D569" s="38"/>
      <c r="E569" s="38"/>
      <c r="F569" s="38"/>
      <c r="G569" s="38"/>
    </row>
    <row r="570" ht="14.25" customHeight="1">
      <c r="A570" s="36"/>
      <c r="B570" s="31"/>
      <c r="D570" s="38"/>
      <c r="E570" s="38"/>
      <c r="F570" s="38"/>
      <c r="G570" s="38"/>
    </row>
    <row r="571" ht="14.25" customHeight="1">
      <c r="A571" s="36"/>
      <c r="B571" s="31"/>
      <c r="D571" s="38"/>
      <c r="E571" s="38"/>
      <c r="F571" s="38"/>
      <c r="G571" s="38"/>
    </row>
    <row r="572" ht="14.25" customHeight="1">
      <c r="A572" s="36"/>
      <c r="B572" s="31"/>
      <c r="D572" s="38"/>
      <c r="E572" s="38"/>
      <c r="F572" s="38"/>
      <c r="G572" s="38"/>
    </row>
    <row r="573" ht="14.25" customHeight="1">
      <c r="A573" s="36"/>
      <c r="B573" s="31"/>
      <c r="D573" s="38"/>
      <c r="E573" s="38"/>
      <c r="F573" s="38"/>
      <c r="G573" s="38"/>
    </row>
    <row r="574" ht="14.25" customHeight="1">
      <c r="A574" s="36"/>
      <c r="B574" s="31"/>
      <c r="D574" s="38"/>
      <c r="E574" s="38"/>
      <c r="F574" s="38"/>
      <c r="G574" s="38"/>
    </row>
    <row r="575" ht="14.25" customHeight="1">
      <c r="A575" s="36"/>
      <c r="B575" s="31"/>
      <c r="D575" s="38"/>
      <c r="E575" s="38"/>
      <c r="F575" s="38"/>
      <c r="G575" s="38"/>
    </row>
    <row r="576" ht="14.25" customHeight="1">
      <c r="A576" s="36"/>
      <c r="B576" s="31"/>
      <c r="D576" s="38"/>
      <c r="E576" s="38"/>
      <c r="F576" s="38"/>
      <c r="G576" s="38"/>
    </row>
    <row r="577" ht="14.25" customHeight="1">
      <c r="A577" s="36"/>
      <c r="B577" s="31"/>
      <c r="D577" s="38"/>
      <c r="E577" s="38"/>
      <c r="F577" s="38"/>
      <c r="G577" s="38"/>
    </row>
    <row r="578" ht="14.25" customHeight="1">
      <c r="A578" s="36"/>
      <c r="B578" s="31"/>
      <c r="D578" s="38"/>
      <c r="E578" s="38"/>
      <c r="F578" s="38"/>
      <c r="G578" s="38"/>
    </row>
    <row r="579" ht="14.25" customHeight="1">
      <c r="A579" s="36"/>
      <c r="B579" s="31"/>
      <c r="D579" s="38"/>
      <c r="E579" s="38"/>
      <c r="F579" s="38"/>
      <c r="G579" s="38"/>
    </row>
    <row r="580" ht="14.25" customHeight="1">
      <c r="A580" s="36"/>
      <c r="B580" s="31"/>
      <c r="D580" s="38"/>
      <c r="E580" s="38"/>
      <c r="F580" s="38"/>
      <c r="G580" s="38"/>
    </row>
    <row r="581" ht="14.25" customHeight="1">
      <c r="A581" s="36"/>
      <c r="B581" s="31"/>
      <c r="D581" s="38"/>
      <c r="E581" s="38"/>
      <c r="F581" s="38"/>
      <c r="G581" s="38"/>
    </row>
    <row r="582" ht="14.25" customHeight="1">
      <c r="A582" s="36"/>
      <c r="B582" s="31"/>
      <c r="D582" s="38"/>
      <c r="E582" s="38"/>
      <c r="F582" s="38"/>
      <c r="G582" s="38"/>
    </row>
    <row r="583" ht="14.25" customHeight="1">
      <c r="A583" s="36"/>
      <c r="B583" s="31"/>
      <c r="D583" s="38"/>
      <c r="E583" s="38"/>
      <c r="F583" s="38"/>
      <c r="G583" s="38"/>
    </row>
    <row r="584" ht="14.25" customHeight="1">
      <c r="A584" s="36"/>
      <c r="B584" s="31"/>
      <c r="D584" s="38"/>
      <c r="E584" s="38"/>
      <c r="F584" s="38"/>
      <c r="G584" s="38"/>
    </row>
    <row r="585" ht="14.25" customHeight="1">
      <c r="A585" s="36"/>
      <c r="B585" s="31"/>
      <c r="D585" s="38"/>
      <c r="E585" s="38"/>
      <c r="F585" s="38"/>
      <c r="G585" s="38"/>
    </row>
    <row r="586" ht="14.25" customHeight="1">
      <c r="A586" s="36"/>
      <c r="B586" s="31"/>
      <c r="D586" s="38"/>
      <c r="E586" s="38"/>
      <c r="F586" s="38"/>
      <c r="G586" s="38"/>
    </row>
    <row r="587" ht="14.25" customHeight="1">
      <c r="A587" s="36"/>
      <c r="B587" s="31"/>
      <c r="D587" s="38"/>
      <c r="E587" s="38"/>
      <c r="F587" s="38"/>
      <c r="G587" s="38"/>
    </row>
    <row r="588" ht="14.25" customHeight="1">
      <c r="A588" s="36"/>
      <c r="B588" s="31"/>
      <c r="D588" s="38"/>
      <c r="E588" s="38"/>
      <c r="F588" s="38"/>
      <c r="G588" s="38"/>
    </row>
    <row r="589" ht="14.25" customHeight="1">
      <c r="A589" s="36"/>
      <c r="B589" s="31"/>
      <c r="D589" s="38"/>
      <c r="E589" s="38"/>
      <c r="F589" s="38"/>
      <c r="G589" s="38"/>
    </row>
    <row r="590" ht="14.25" customHeight="1">
      <c r="A590" s="36"/>
      <c r="B590" s="31"/>
      <c r="D590" s="38"/>
      <c r="E590" s="38"/>
      <c r="F590" s="38"/>
      <c r="G590" s="38"/>
    </row>
    <row r="591" ht="14.25" customHeight="1">
      <c r="A591" s="36"/>
      <c r="B591" s="31"/>
      <c r="D591" s="38"/>
      <c r="E591" s="38"/>
      <c r="F591" s="38"/>
      <c r="G591" s="38"/>
    </row>
    <row r="592" ht="14.25" customHeight="1">
      <c r="A592" s="36"/>
      <c r="B592" s="31"/>
      <c r="D592" s="38"/>
      <c r="E592" s="38"/>
      <c r="F592" s="38"/>
      <c r="G592" s="38"/>
    </row>
    <row r="593" ht="14.25" customHeight="1">
      <c r="A593" s="36"/>
      <c r="B593" s="31"/>
      <c r="D593" s="38"/>
      <c r="E593" s="38"/>
      <c r="F593" s="38"/>
      <c r="G593" s="38"/>
    </row>
    <row r="594" ht="14.25" customHeight="1">
      <c r="A594" s="36"/>
      <c r="B594" s="31"/>
      <c r="D594" s="38"/>
      <c r="E594" s="38"/>
      <c r="F594" s="38"/>
      <c r="G594" s="38"/>
    </row>
    <row r="595" ht="14.25" customHeight="1">
      <c r="A595" s="36"/>
      <c r="B595" s="31"/>
      <c r="D595" s="38"/>
      <c r="E595" s="38"/>
      <c r="F595" s="38"/>
      <c r="G595" s="38"/>
    </row>
    <row r="596" ht="14.25" customHeight="1">
      <c r="A596" s="36"/>
      <c r="B596" s="31"/>
      <c r="D596" s="38"/>
      <c r="E596" s="38"/>
      <c r="F596" s="38"/>
      <c r="G596" s="38"/>
    </row>
    <row r="597" ht="14.25" customHeight="1">
      <c r="A597" s="36"/>
      <c r="B597" s="31"/>
      <c r="D597" s="38"/>
      <c r="E597" s="38"/>
      <c r="F597" s="38"/>
      <c r="G597" s="38"/>
    </row>
    <row r="598" ht="14.25" customHeight="1">
      <c r="A598" s="36"/>
      <c r="B598" s="31"/>
      <c r="D598" s="38"/>
      <c r="E598" s="38"/>
      <c r="F598" s="38"/>
      <c r="G598" s="38"/>
    </row>
    <row r="599" ht="14.25" customHeight="1">
      <c r="A599" s="36"/>
      <c r="B599" s="31"/>
      <c r="D599" s="38"/>
      <c r="E599" s="38"/>
      <c r="F599" s="38"/>
      <c r="G599" s="38"/>
    </row>
    <row r="600" ht="14.25" customHeight="1">
      <c r="A600" s="36"/>
      <c r="B600" s="31"/>
      <c r="D600" s="38"/>
      <c r="E600" s="38"/>
      <c r="F600" s="38"/>
      <c r="G600" s="38"/>
    </row>
    <row r="601" ht="14.25" customHeight="1">
      <c r="A601" s="36"/>
      <c r="B601" s="31"/>
      <c r="D601" s="38"/>
      <c r="E601" s="38"/>
      <c r="F601" s="38"/>
      <c r="G601" s="38"/>
    </row>
    <row r="602" ht="14.25" customHeight="1">
      <c r="A602" s="36"/>
      <c r="B602" s="31"/>
      <c r="D602" s="38"/>
      <c r="E602" s="38"/>
      <c r="F602" s="38"/>
      <c r="G602" s="38"/>
    </row>
    <row r="603" ht="14.25" customHeight="1">
      <c r="A603" s="36"/>
      <c r="B603" s="31"/>
      <c r="D603" s="38"/>
      <c r="E603" s="38"/>
      <c r="F603" s="38"/>
      <c r="G603" s="38"/>
    </row>
    <row r="604" ht="14.25" customHeight="1">
      <c r="A604" s="36"/>
      <c r="B604" s="31"/>
      <c r="D604" s="38"/>
      <c r="E604" s="38"/>
      <c r="F604" s="38"/>
      <c r="G604" s="38"/>
    </row>
    <row r="605" ht="14.25" customHeight="1">
      <c r="A605" s="36"/>
      <c r="B605" s="31"/>
      <c r="D605" s="38"/>
      <c r="E605" s="38"/>
      <c r="F605" s="38"/>
      <c r="G605" s="38"/>
    </row>
    <row r="606" ht="14.25" customHeight="1">
      <c r="A606" s="36"/>
      <c r="B606" s="31"/>
      <c r="D606" s="38"/>
      <c r="E606" s="38"/>
      <c r="F606" s="38"/>
      <c r="G606" s="38"/>
    </row>
    <row r="607" ht="14.25" customHeight="1">
      <c r="A607" s="36"/>
      <c r="B607" s="31"/>
      <c r="D607" s="38"/>
      <c r="E607" s="38"/>
      <c r="F607" s="38"/>
      <c r="G607" s="38"/>
    </row>
    <row r="608" ht="14.25" customHeight="1">
      <c r="A608" s="36"/>
      <c r="B608" s="31"/>
      <c r="D608" s="38"/>
      <c r="E608" s="38"/>
      <c r="F608" s="38"/>
      <c r="G608" s="38"/>
    </row>
    <row r="609" ht="14.25" customHeight="1">
      <c r="A609" s="36"/>
      <c r="B609" s="31"/>
      <c r="D609" s="38"/>
      <c r="E609" s="38"/>
      <c r="F609" s="38"/>
      <c r="G609" s="38"/>
    </row>
    <row r="610" ht="14.25" customHeight="1">
      <c r="A610" s="36"/>
      <c r="B610" s="31"/>
      <c r="D610" s="38"/>
      <c r="E610" s="38"/>
      <c r="F610" s="38"/>
      <c r="G610" s="38"/>
    </row>
    <row r="611" ht="14.25" customHeight="1">
      <c r="A611" s="36"/>
      <c r="B611" s="31"/>
      <c r="D611" s="38"/>
      <c r="E611" s="38"/>
      <c r="F611" s="38"/>
      <c r="G611" s="38"/>
    </row>
    <row r="612" ht="14.25" customHeight="1">
      <c r="A612" s="36"/>
      <c r="B612" s="31"/>
      <c r="D612" s="38"/>
      <c r="E612" s="38"/>
      <c r="F612" s="38"/>
      <c r="G612" s="38"/>
    </row>
    <row r="613" ht="14.25" customHeight="1">
      <c r="A613" s="36"/>
      <c r="B613" s="31"/>
      <c r="D613" s="38"/>
      <c r="E613" s="38"/>
      <c r="F613" s="38"/>
      <c r="G613" s="38"/>
    </row>
    <row r="614" ht="14.25" customHeight="1">
      <c r="A614" s="36"/>
      <c r="B614" s="31"/>
      <c r="D614" s="38"/>
      <c r="E614" s="38"/>
      <c r="F614" s="38"/>
      <c r="G614" s="38"/>
    </row>
    <row r="615" ht="14.25" customHeight="1">
      <c r="A615" s="36"/>
      <c r="B615" s="31"/>
      <c r="D615" s="38"/>
      <c r="E615" s="38"/>
      <c r="F615" s="38"/>
      <c r="G615" s="38"/>
    </row>
    <row r="616" ht="14.25" customHeight="1">
      <c r="A616" s="36"/>
      <c r="B616" s="31"/>
      <c r="D616" s="38"/>
      <c r="E616" s="38"/>
      <c r="F616" s="38"/>
      <c r="G616" s="38"/>
    </row>
    <row r="617" ht="14.25" customHeight="1">
      <c r="A617" s="36"/>
      <c r="B617" s="31"/>
      <c r="D617" s="38"/>
      <c r="E617" s="38"/>
      <c r="F617" s="38"/>
      <c r="G617" s="38"/>
    </row>
    <row r="618" ht="14.25" customHeight="1">
      <c r="A618" s="36"/>
      <c r="B618" s="31"/>
      <c r="D618" s="38"/>
      <c r="E618" s="38"/>
      <c r="F618" s="38"/>
      <c r="G618" s="38"/>
    </row>
    <row r="619" ht="14.25" customHeight="1">
      <c r="A619" s="36"/>
      <c r="B619" s="31"/>
      <c r="D619" s="38"/>
      <c r="E619" s="38"/>
      <c r="F619" s="38"/>
      <c r="G619" s="38"/>
    </row>
    <row r="620" ht="14.25" customHeight="1">
      <c r="A620" s="36"/>
      <c r="B620" s="31"/>
      <c r="D620" s="38"/>
      <c r="E620" s="38"/>
      <c r="F620" s="38"/>
      <c r="G620" s="38"/>
    </row>
    <row r="621" ht="14.25" customHeight="1">
      <c r="A621" s="36"/>
      <c r="B621" s="31"/>
      <c r="D621" s="38"/>
      <c r="E621" s="38"/>
      <c r="F621" s="38"/>
      <c r="G621" s="38"/>
    </row>
    <row r="622" ht="14.25" customHeight="1">
      <c r="A622" s="36"/>
      <c r="B622" s="31"/>
      <c r="D622" s="38"/>
      <c r="E622" s="38"/>
      <c r="F622" s="38"/>
      <c r="G622" s="38"/>
    </row>
    <row r="623" ht="14.25" customHeight="1">
      <c r="A623" s="36"/>
      <c r="B623" s="31"/>
      <c r="D623" s="38"/>
      <c r="E623" s="38"/>
      <c r="F623" s="38"/>
      <c r="G623" s="38"/>
    </row>
    <row r="624" ht="14.25" customHeight="1">
      <c r="A624" s="36"/>
      <c r="B624" s="31"/>
      <c r="D624" s="38"/>
      <c r="E624" s="38"/>
      <c r="F624" s="38"/>
      <c r="G624" s="38"/>
    </row>
    <row r="625" ht="14.25" customHeight="1">
      <c r="A625" s="36"/>
      <c r="B625" s="31"/>
      <c r="D625" s="38"/>
      <c r="E625" s="38"/>
      <c r="F625" s="38"/>
      <c r="G625" s="38"/>
    </row>
    <row r="626" ht="14.25" customHeight="1">
      <c r="A626" s="36"/>
      <c r="B626" s="31"/>
      <c r="D626" s="38"/>
      <c r="E626" s="38"/>
      <c r="F626" s="38"/>
      <c r="G626" s="38"/>
    </row>
    <row r="627" ht="14.25" customHeight="1">
      <c r="A627" s="36"/>
      <c r="B627" s="31"/>
      <c r="D627" s="38"/>
      <c r="E627" s="38"/>
      <c r="F627" s="38"/>
      <c r="G627" s="38"/>
    </row>
    <row r="628" ht="14.25" customHeight="1">
      <c r="A628" s="36"/>
      <c r="B628" s="31"/>
      <c r="D628" s="38"/>
      <c r="E628" s="38"/>
      <c r="F628" s="38"/>
      <c r="G628" s="38"/>
    </row>
    <row r="629" ht="14.25" customHeight="1">
      <c r="A629" s="36"/>
      <c r="B629" s="31"/>
      <c r="D629" s="38"/>
      <c r="E629" s="38"/>
      <c r="F629" s="38"/>
      <c r="G629" s="38"/>
    </row>
    <row r="630" ht="14.25" customHeight="1">
      <c r="A630" s="36"/>
      <c r="B630" s="31"/>
      <c r="D630" s="38"/>
      <c r="E630" s="38"/>
      <c r="F630" s="38"/>
      <c r="G630" s="38"/>
    </row>
    <row r="631" ht="14.25" customHeight="1">
      <c r="A631" s="36"/>
      <c r="B631" s="31"/>
      <c r="D631" s="38"/>
      <c r="E631" s="38"/>
      <c r="F631" s="38"/>
      <c r="G631" s="38"/>
    </row>
    <row r="632" ht="14.25" customHeight="1">
      <c r="A632" s="36"/>
      <c r="B632" s="31"/>
      <c r="D632" s="38"/>
      <c r="E632" s="38"/>
      <c r="F632" s="38"/>
      <c r="G632" s="38"/>
    </row>
    <row r="633" ht="14.25" customHeight="1">
      <c r="A633" s="36"/>
      <c r="B633" s="31"/>
      <c r="D633" s="38"/>
      <c r="E633" s="38"/>
      <c r="F633" s="38"/>
      <c r="G633" s="38"/>
    </row>
    <row r="634" ht="14.25" customHeight="1">
      <c r="A634" s="36"/>
      <c r="B634" s="31"/>
      <c r="D634" s="38"/>
      <c r="E634" s="38"/>
      <c r="F634" s="38"/>
      <c r="G634" s="38"/>
    </row>
    <row r="635" ht="14.25" customHeight="1">
      <c r="A635" s="36"/>
      <c r="B635" s="31"/>
      <c r="D635" s="38"/>
      <c r="E635" s="38"/>
      <c r="F635" s="38"/>
      <c r="G635" s="38"/>
    </row>
    <row r="636" ht="14.25" customHeight="1">
      <c r="A636" s="36"/>
      <c r="B636" s="31"/>
      <c r="D636" s="38"/>
      <c r="E636" s="38"/>
      <c r="F636" s="38"/>
      <c r="G636" s="38"/>
    </row>
    <row r="637" ht="14.25" customHeight="1">
      <c r="A637" s="36"/>
      <c r="B637" s="31"/>
      <c r="D637" s="38"/>
      <c r="E637" s="38"/>
      <c r="F637" s="38"/>
      <c r="G637" s="38"/>
    </row>
    <row r="638" ht="14.25" customHeight="1">
      <c r="A638" s="36"/>
      <c r="B638" s="31"/>
      <c r="D638" s="38"/>
      <c r="E638" s="38"/>
      <c r="F638" s="38"/>
      <c r="G638" s="38"/>
    </row>
    <row r="639" ht="14.25" customHeight="1">
      <c r="A639" s="36"/>
      <c r="B639" s="31"/>
      <c r="D639" s="38"/>
      <c r="E639" s="38"/>
      <c r="F639" s="38"/>
      <c r="G639" s="38"/>
    </row>
    <row r="640" ht="14.25" customHeight="1">
      <c r="A640" s="36"/>
      <c r="B640" s="31"/>
      <c r="D640" s="38"/>
      <c r="E640" s="38"/>
      <c r="F640" s="38"/>
      <c r="G640" s="38"/>
    </row>
    <row r="641" ht="14.25" customHeight="1">
      <c r="A641" s="36"/>
      <c r="B641" s="31"/>
      <c r="D641" s="38"/>
      <c r="E641" s="38"/>
      <c r="F641" s="38"/>
      <c r="G641" s="38"/>
    </row>
    <row r="642" ht="14.25" customHeight="1">
      <c r="A642" s="36"/>
      <c r="B642" s="31"/>
      <c r="D642" s="38"/>
      <c r="E642" s="38"/>
      <c r="F642" s="38"/>
      <c r="G642" s="38"/>
    </row>
    <row r="643" ht="14.25" customHeight="1">
      <c r="A643" s="36"/>
      <c r="B643" s="31"/>
      <c r="D643" s="38"/>
      <c r="E643" s="38"/>
      <c r="F643" s="38"/>
      <c r="G643" s="38"/>
    </row>
    <row r="644" ht="14.25" customHeight="1">
      <c r="A644" s="36"/>
      <c r="B644" s="31"/>
      <c r="D644" s="38"/>
      <c r="E644" s="38"/>
      <c r="F644" s="38"/>
      <c r="G644" s="38"/>
    </row>
    <row r="645" ht="14.25" customHeight="1">
      <c r="A645" s="36"/>
      <c r="B645" s="31"/>
      <c r="D645" s="38"/>
      <c r="E645" s="38"/>
      <c r="F645" s="38"/>
      <c r="G645" s="38"/>
    </row>
    <row r="646" ht="14.25" customHeight="1">
      <c r="A646" s="36"/>
      <c r="B646" s="31"/>
      <c r="D646" s="38"/>
      <c r="E646" s="38"/>
      <c r="F646" s="38"/>
      <c r="G646" s="38"/>
    </row>
    <row r="647" ht="14.25" customHeight="1">
      <c r="A647" s="36"/>
      <c r="B647" s="31"/>
      <c r="D647" s="38"/>
      <c r="E647" s="38"/>
      <c r="F647" s="38"/>
      <c r="G647" s="38"/>
    </row>
    <row r="648" ht="14.25" customHeight="1">
      <c r="A648" s="36"/>
      <c r="B648" s="31"/>
      <c r="D648" s="38"/>
      <c r="E648" s="38"/>
      <c r="F648" s="38"/>
      <c r="G648" s="38"/>
    </row>
    <row r="649" ht="14.25" customHeight="1">
      <c r="A649" s="36"/>
      <c r="B649" s="31"/>
      <c r="D649" s="38"/>
      <c r="E649" s="38"/>
      <c r="F649" s="38"/>
      <c r="G649" s="38"/>
    </row>
    <row r="650" ht="14.25" customHeight="1">
      <c r="A650" s="36"/>
      <c r="B650" s="31"/>
      <c r="D650" s="38"/>
      <c r="E650" s="38"/>
      <c r="F650" s="38"/>
      <c r="G650" s="38"/>
    </row>
    <row r="651" ht="14.25" customHeight="1">
      <c r="A651" s="36"/>
      <c r="B651" s="31"/>
      <c r="D651" s="38"/>
      <c r="E651" s="38"/>
      <c r="F651" s="38"/>
      <c r="G651" s="38"/>
    </row>
    <row r="652" ht="14.25" customHeight="1">
      <c r="A652" s="36"/>
      <c r="B652" s="31"/>
      <c r="D652" s="38"/>
      <c r="E652" s="38"/>
      <c r="F652" s="38"/>
      <c r="G652" s="38"/>
    </row>
    <row r="653" ht="14.25" customHeight="1">
      <c r="A653" s="36"/>
      <c r="B653" s="31"/>
      <c r="D653" s="38"/>
      <c r="E653" s="38"/>
      <c r="F653" s="38"/>
      <c r="G653" s="38"/>
    </row>
    <row r="654" ht="14.25" customHeight="1">
      <c r="A654" s="36"/>
      <c r="B654" s="31"/>
      <c r="D654" s="38"/>
      <c r="E654" s="38"/>
      <c r="F654" s="38"/>
      <c r="G654" s="38"/>
    </row>
    <row r="655" ht="14.25" customHeight="1">
      <c r="A655" s="36"/>
      <c r="B655" s="31"/>
      <c r="D655" s="38"/>
      <c r="E655" s="38"/>
      <c r="F655" s="38"/>
      <c r="G655" s="38"/>
    </row>
    <row r="656" ht="14.25" customHeight="1">
      <c r="A656" s="36"/>
      <c r="B656" s="31"/>
      <c r="D656" s="38"/>
      <c r="E656" s="38"/>
      <c r="F656" s="38"/>
      <c r="G656" s="38"/>
    </row>
    <row r="657" ht="14.25" customHeight="1">
      <c r="A657" s="36"/>
      <c r="B657" s="31"/>
      <c r="D657" s="38"/>
      <c r="E657" s="38"/>
      <c r="F657" s="38"/>
      <c r="G657" s="38"/>
    </row>
    <row r="658" ht="14.25" customHeight="1">
      <c r="A658" s="36"/>
      <c r="B658" s="31"/>
      <c r="D658" s="38"/>
      <c r="E658" s="38"/>
      <c r="F658" s="38"/>
      <c r="G658" s="38"/>
    </row>
    <row r="659" ht="14.25" customHeight="1">
      <c r="A659" s="36"/>
      <c r="B659" s="31"/>
      <c r="D659" s="38"/>
      <c r="E659" s="38"/>
      <c r="F659" s="38"/>
      <c r="G659" s="38"/>
    </row>
    <row r="660" ht="14.25" customHeight="1">
      <c r="A660" s="36"/>
      <c r="B660" s="31"/>
      <c r="D660" s="38"/>
      <c r="E660" s="38"/>
      <c r="F660" s="38"/>
      <c r="G660" s="38"/>
    </row>
    <row r="661" ht="14.25" customHeight="1">
      <c r="A661" s="36"/>
      <c r="B661" s="31"/>
      <c r="D661" s="38"/>
      <c r="E661" s="38"/>
      <c r="F661" s="38"/>
      <c r="G661" s="38"/>
    </row>
    <row r="662" ht="14.25" customHeight="1">
      <c r="A662" s="36"/>
      <c r="B662" s="31"/>
      <c r="D662" s="38"/>
      <c r="E662" s="38"/>
      <c r="F662" s="38"/>
      <c r="G662" s="38"/>
    </row>
    <row r="663" ht="14.25" customHeight="1">
      <c r="A663" s="36"/>
      <c r="B663" s="31"/>
      <c r="D663" s="38"/>
      <c r="E663" s="38"/>
      <c r="F663" s="38"/>
      <c r="G663" s="38"/>
    </row>
    <row r="664" ht="14.25" customHeight="1">
      <c r="A664" s="36"/>
      <c r="B664" s="31"/>
      <c r="D664" s="38"/>
      <c r="E664" s="38"/>
      <c r="F664" s="38"/>
      <c r="G664" s="38"/>
    </row>
    <row r="665" ht="14.25" customHeight="1">
      <c r="A665" s="36"/>
      <c r="B665" s="31"/>
      <c r="D665" s="38"/>
      <c r="E665" s="38"/>
      <c r="F665" s="38"/>
      <c r="G665" s="38"/>
    </row>
    <row r="666" ht="14.25" customHeight="1">
      <c r="A666" s="36"/>
      <c r="B666" s="31"/>
      <c r="D666" s="38"/>
      <c r="E666" s="38"/>
      <c r="F666" s="38"/>
      <c r="G666" s="38"/>
    </row>
    <row r="667" ht="14.25" customHeight="1">
      <c r="A667" s="36"/>
      <c r="B667" s="31"/>
      <c r="D667" s="38"/>
      <c r="E667" s="38"/>
      <c r="F667" s="38"/>
      <c r="G667" s="38"/>
    </row>
    <row r="668" ht="14.25" customHeight="1">
      <c r="A668" s="36"/>
      <c r="B668" s="31"/>
      <c r="D668" s="38"/>
      <c r="E668" s="38"/>
      <c r="F668" s="38"/>
      <c r="G668" s="38"/>
    </row>
    <row r="669" ht="14.25" customHeight="1">
      <c r="A669" s="36"/>
      <c r="B669" s="31"/>
      <c r="D669" s="38"/>
      <c r="E669" s="38"/>
      <c r="F669" s="38"/>
      <c r="G669" s="38"/>
    </row>
    <row r="670" ht="14.25" customHeight="1">
      <c r="A670" s="36"/>
      <c r="B670" s="31"/>
      <c r="D670" s="38"/>
      <c r="E670" s="38"/>
      <c r="F670" s="38"/>
      <c r="G670" s="38"/>
    </row>
    <row r="671" ht="14.25" customHeight="1">
      <c r="A671" s="36"/>
      <c r="B671" s="31"/>
      <c r="D671" s="38"/>
      <c r="E671" s="38"/>
      <c r="F671" s="38"/>
      <c r="G671" s="38"/>
    </row>
    <row r="672" ht="14.25" customHeight="1">
      <c r="A672" s="36"/>
      <c r="B672" s="31"/>
      <c r="D672" s="38"/>
      <c r="E672" s="38"/>
      <c r="F672" s="38"/>
      <c r="G672" s="38"/>
    </row>
    <row r="673" ht="14.25" customHeight="1">
      <c r="A673" s="36"/>
      <c r="B673" s="31"/>
      <c r="D673" s="38"/>
      <c r="E673" s="38"/>
      <c r="F673" s="38"/>
      <c r="G673" s="38"/>
    </row>
    <row r="674" ht="14.25" customHeight="1">
      <c r="A674" s="36"/>
      <c r="B674" s="31"/>
      <c r="D674" s="38"/>
      <c r="E674" s="38"/>
      <c r="F674" s="38"/>
      <c r="G674" s="38"/>
    </row>
    <row r="675" ht="14.25" customHeight="1">
      <c r="A675" s="36"/>
      <c r="B675" s="31"/>
      <c r="D675" s="38"/>
      <c r="E675" s="38"/>
      <c r="F675" s="38"/>
      <c r="G675" s="38"/>
    </row>
    <row r="676" ht="14.25" customHeight="1">
      <c r="A676" s="36"/>
      <c r="B676" s="31"/>
      <c r="D676" s="38"/>
      <c r="E676" s="38"/>
      <c r="F676" s="38"/>
      <c r="G676" s="38"/>
    </row>
    <row r="677" ht="14.25" customHeight="1">
      <c r="A677" s="36"/>
      <c r="B677" s="31"/>
      <c r="D677" s="38"/>
      <c r="E677" s="38"/>
      <c r="F677" s="38"/>
      <c r="G677" s="38"/>
    </row>
    <row r="678" ht="14.25" customHeight="1">
      <c r="A678" s="36"/>
      <c r="B678" s="31"/>
      <c r="D678" s="38"/>
      <c r="E678" s="38"/>
      <c r="F678" s="38"/>
      <c r="G678" s="38"/>
    </row>
    <row r="679" ht="14.25" customHeight="1">
      <c r="A679" s="36"/>
      <c r="B679" s="31"/>
      <c r="D679" s="38"/>
      <c r="E679" s="38"/>
      <c r="F679" s="38"/>
      <c r="G679" s="38"/>
    </row>
    <row r="680" ht="14.25" customHeight="1">
      <c r="A680" s="36"/>
      <c r="B680" s="31"/>
      <c r="D680" s="38"/>
      <c r="E680" s="38"/>
      <c r="F680" s="38"/>
      <c r="G680" s="38"/>
    </row>
    <row r="681" ht="14.25" customHeight="1">
      <c r="A681" s="36"/>
      <c r="B681" s="31"/>
      <c r="D681" s="38"/>
      <c r="E681" s="38"/>
      <c r="F681" s="38"/>
      <c r="G681" s="38"/>
    </row>
    <row r="682" ht="14.25" customHeight="1">
      <c r="A682" s="36"/>
      <c r="B682" s="31"/>
      <c r="D682" s="38"/>
      <c r="E682" s="38"/>
      <c r="F682" s="38"/>
      <c r="G682" s="38"/>
    </row>
    <row r="683" ht="14.25" customHeight="1">
      <c r="A683" s="36"/>
      <c r="B683" s="31"/>
      <c r="D683" s="38"/>
      <c r="E683" s="38"/>
      <c r="F683" s="38"/>
      <c r="G683" s="38"/>
    </row>
    <row r="684" ht="14.25" customHeight="1">
      <c r="A684" s="36"/>
      <c r="B684" s="31"/>
      <c r="D684" s="38"/>
      <c r="E684" s="38"/>
      <c r="F684" s="38"/>
      <c r="G684" s="38"/>
    </row>
    <row r="685" ht="14.25" customHeight="1">
      <c r="A685" s="36"/>
      <c r="B685" s="31"/>
      <c r="D685" s="38"/>
      <c r="E685" s="38"/>
      <c r="F685" s="38"/>
      <c r="G685" s="38"/>
    </row>
    <row r="686" ht="14.25" customHeight="1">
      <c r="A686" s="36"/>
      <c r="B686" s="31"/>
      <c r="D686" s="38"/>
      <c r="E686" s="38"/>
      <c r="F686" s="38"/>
      <c r="G686" s="38"/>
    </row>
    <row r="687" ht="14.25" customHeight="1">
      <c r="A687" s="36"/>
      <c r="B687" s="31"/>
      <c r="D687" s="38"/>
      <c r="E687" s="38"/>
      <c r="F687" s="38"/>
      <c r="G687" s="38"/>
    </row>
    <row r="688" ht="14.25" customHeight="1">
      <c r="A688" s="36"/>
      <c r="B688" s="31"/>
      <c r="D688" s="38"/>
      <c r="E688" s="38"/>
      <c r="F688" s="38"/>
      <c r="G688" s="38"/>
    </row>
    <row r="689" ht="14.25" customHeight="1">
      <c r="A689" s="36"/>
      <c r="B689" s="31"/>
      <c r="D689" s="38"/>
      <c r="E689" s="38"/>
      <c r="F689" s="38"/>
      <c r="G689" s="38"/>
    </row>
    <row r="690" ht="14.25" customHeight="1">
      <c r="A690" s="36"/>
      <c r="B690" s="31"/>
      <c r="D690" s="38"/>
      <c r="E690" s="38"/>
      <c r="F690" s="38"/>
      <c r="G690" s="38"/>
    </row>
    <row r="691" ht="14.25" customHeight="1">
      <c r="A691" s="36"/>
      <c r="B691" s="31"/>
      <c r="D691" s="38"/>
      <c r="E691" s="38"/>
      <c r="F691" s="38"/>
      <c r="G691" s="38"/>
    </row>
    <row r="692" ht="14.25" customHeight="1">
      <c r="A692" s="36"/>
      <c r="B692" s="31"/>
      <c r="D692" s="38"/>
      <c r="E692" s="38"/>
      <c r="F692" s="38"/>
      <c r="G692" s="38"/>
    </row>
    <row r="693" ht="14.25" customHeight="1">
      <c r="A693" s="36"/>
      <c r="B693" s="31"/>
      <c r="D693" s="38"/>
      <c r="E693" s="38"/>
      <c r="F693" s="38"/>
      <c r="G693" s="38"/>
    </row>
    <row r="694" ht="14.25" customHeight="1">
      <c r="A694" s="36"/>
      <c r="B694" s="31"/>
      <c r="D694" s="38"/>
      <c r="E694" s="38"/>
      <c r="F694" s="38"/>
      <c r="G694" s="38"/>
    </row>
    <row r="695" ht="14.25" customHeight="1">
      <c r="A695" s="36"/>
      <c r="B695" s="31"/>
      <c r="D695" s="38"/>
      <c r="E695" s="38"/>
      <c r="F695" s="38"/>
      <c r="G695" s="38"/>
    </row>
    <row r="696" ht="14.25" customHeight="1">
      <c r="A696" s="36"/>
      <c r="B696" s="31"/>
      <c r="D696" s="38"/>
      <c r="E696" s="38"/>
      <c r="F696" s="38"/>
      <c r="G696" s="38"/>
    </row>
    <row r="697" ht="14.25" customHeight="1">
      <c r="A697" s="36"/>
      <c r="B697" s="31"/>
      <c r="D697" s="38"/>
      <c r="E697" s="38"/>
      <c r="F697" s="38"/>
      <c r="G697" s="38"/>
    </row>
    <row r="698" ht="14.25" customHeight="1">
      <c r="A698" s="36"/>
      <c r="B698" s="31"/>
      <c r="D698" s="38"/>
      <c r="E698" s="38"/>
      <c r="F698" s="38"/>
      <c r="G698" s="38"/>
    </row>
    <row r="699" ht="14.25" customHeight="1">
      <c r="A699" s="36"/>
      <c r="B699" s="31"/>
      <c r="D699" s="38"/>
      <c r="E699" s="38"/>
      <c r="F699" s="38"/>
      <c r="G699" s="38"/>
    </row>
    <row r="700" ht="14.25" customHeight="1">
      <c r="A700" s="36"/>
      <c r="B700" s="31"/>
      <c r="D700" s="38"/>
      <c r="E700" s="38"/>
      <c r="F700" s="38"/>
      <c r="G700" s="38"/>
    </row>
    <row r="701" ht="14.25" customHeight="1">
      <c r="A701" s="36"/>
      <c r="B701" s="31"/>
      <c r="D701" s="38"/>
      <c r="E701" s="38"/>
      <c r="F701" s="38"/>
      <c r="G701" s="38"/>
    </row>
    <row r="702" ht="14.25" customHeight="1">
      <c r="A702" s="36"/>
      <c r="B702" s="31"/>
      <c r="D702" s="38"/>
      <c r="E702" s="38"/>
      <c r="F702" s="38"/>
      <c r="G702" s="38"/>
    </row>
    <row r="703" ht="14.25" customHeight="1">
      <c r="A703" s="36"/>
      <c r="B703" s="31"/>
      <c r="D703" s="38"/>
      <c r="E703" s="38"/>
      <c r="F703" s="38"/>
      <c r="G703" s="38"/>
    </row>
    <row r="704" ht="14.25" customHeight="1">
      <c r="A704" s="36"/>
      <c r="B704" s="31"/>
      <c r="D704" s="38"/>
      <c r="E704" s="38"/>
      <c r="F704" s="38"/>
      <c r="G704" s="38"/>
    </row>
    <row r="705" ht="14.25" customHeight="1">
      <c r="A705" s="36"/>
      <c r="B705" s="31"/>
      <c r="D705" s="38"/>
      <c r="E705" s="38"/>
      <c r="F705" s="38"/>
      <c r="G705" s="38"/>
    </row>
    <row r="706" ht="14.25" customHeight="1">
      <c r="A706" s="36"/>
      <c r="B706" s="31"/>
      <c r="D706" s="38"/>
      <c r="E706" s="38"/>
      <c r="F706" s="38"/>
      <c r="G706" s="38"/>
    </row>
    <row r="707" ht="14.25" customHeight="1">
      <c r="A707" s="36"/>
      <c r="B707" s="31"/>
      <c r="D707" s="38"/>
      <c r="E707" s="38"/>
      <c r="F707" s="38"/>
      <c r="G707" s="38"/>
    </row>
    <row r="708" ht="14.25" customHeight="1">
      <c r="A708" s="36"/>
      <c r="B708" s="31"/>
      <c r="D708" s="38"/>
      <c r="E708" s="38"/>
      <c r="F708" s="38"/>
      <c r="G708" s="38"/>
    </row>
    <row r="709" ht="14.25" customHeight="1">
      <c r="A709" s="36"/>
      <c r="B709" s="31"/>
      <c r="D709" s="38"/>
      <c r="E709" s="38"/>
      <c r="F709" s="38"/>
      <c r="G709" s="38"/>
    </row>
    <row r="710" ht="14.25" customHeight="1">
      <c r="A710" s="36"/>
      <c r="B710" s="31"/>
      <c r="D710" s="38"/>
      <c r="E710" s="38"/>
      <c r="F710" s="38"/>
      <c r="G710" s="38"/>
    </row>
    <row r="711" ht="14.25" customHeight="1">
      <c r="A711" s="36"/>
      <c r="B711" s="31"/>
      <c r="D711" s="38"/>
      <c r="E711" s="38"/>
      <c r="F711" s="38"/>
      <c r="G711" s="38"/>
    </row>
    <row r="712" ht="14.25" customHeight="1">
      <c r="A712" s="36"/>
      <c r="B712" s="31"/>
      <c r="D712" s="38"/>
      <c r="E712" s="38"/>
      <c r="F712" s="38"/>
      <c r="G712" s="38"/>
    </row>
    <row r="713" ht="14.25" customHeight="1">
      <c r="A713" s="36"/>
      <c r="B713" s="31"/>
      <c r="D713" s="38"/>
      <c r="E713" s="38"/>
      <c r="F713" s="38"/>
      <c r="G713" s="38"/>
    </row>
    <row r="714" ht="14.25" customHeight="1">
      <c r="A714" s="36"/>
      <c r="B714" s="31"/>
      <c r="D714" s="38"/>
      <c r="E714" s="38"/>
      <c r="F714" s="38"/>
      <c r="G714" s="38"/>
    </row>
    <row r="715" ht="14.25" customHeight="1">
      <c r="A715" s="36"/>
      <c r="B715" s="31"/>
      <c r="D715" s="38"/>
      <c r="E715" s="38"/>
      <c r="F715" s="38"/>
      <c r="G715" s="38"/>
    </row>
    <row r="716" ht="14.25" customHeight="1">
      <c r="A716" s="36"/>
      <c r="B716" s="31"/>
      <c r="D716" s="38"/>
      <c r="E716" s="38"/>
      <c r="F716" s="38"/>
      <c r="G716" s="38"/>
    </row>
    <row r="717" ht="14.25" customHeight="1">
      <c r="A717" s="36"/>
      <c r="B717" s="31"/>
      <c r="D717" s="38"/>
      <c r="E717" s="38"/>
      <c r="F717" s="38"/>
      <c r="G717" s="38"/>
    </row>
    <row r="718" ht="14.25" customHeight="1">
      <c r="A718" s="36"/>
      <c r="B718" s="31"/>
      <c r="D718" s="38"/>
      <c r="E718" s="38"/>
      <c r="F718" s="38"/>
      <c r="G718" s="38"/>
    </row>
    <row r="719" ht="14.25" customHeight="1">
      <c r="A719" s="36"/>
      <c r="B719" s="31"/>
      <c r="D719" s="38"/>
      <c r="E719" s="38"/>
      <c r="F719" s="38"/>
      <c r="G719" s="38"/>
    </row>
    <row r="720" ht="14.25" customHeight="1">
      <c r="A720" s="36"/>
      <c r="B720" s="31"/>
      <c r="D720" s="38"/>
      <c r="E720" s="38"/>
      <c r="F720" s="38"/>
      <c r="G720" s="38"/>
    </row>
    <row r="721" ht="14.25" customHeight="1">
      <c r="A721" s="36"/>
      <c r="B721" s="31"/>
      <c r="D721" s="38"/>
      <c r="E721" s="38"/>
      <c r="F721" s="38"/>
      <c r="G721" s="38"/>
    </row>
    <row r="722" ht="14.25" customHeight="1">
      <c r="A722" s="36"/>
      <c r="B722" s="31"/>
      <c r="D722" s="38"/>
      <c r="E722" s="38"/>
      <c r="F722" s="38"/>
      <c r="G722" s="38"/>
    </row>
    <row r="723" ht="14.25" customHeight="1">
      <c r="A723" s="36"/>
      <c r="B723" s="31"/>
      <c r="D723" s="38"/>
      <c r="E723" s="38"/>
      <c r="F723" s="38"/>
      <c r="G723" s="38"/>
    </row>
    <row r="724" ht="14.25" customHeight="1">
      <c r="A724" s="36"/>
      <c r="B724" s="31"/>
      <c r="D724" s="38"/>
      <c r="E724" s="38"/>
      <c r="F724" s="38"/>
      <c r="G724" s="38"/>
    </row>
    <row r="725" ht="14.25" customHeight="1">
      <c r="A725" s="36"/>
      <c r="B725" s="31"/>
      <c r="D725" s="38"/>
      <c r="E725" s="38"/>
      <c r="F725" s="38"/>
      <c r="G725" s="38"/>
    </row>
    <row r="726" ht="14.25" customHeight="1">
      <c r="A726" s="36"/>
      <c r="B726" s="31"/>
      <c r="D726" s="38"/>
      <c r="E726" s="38"/>
      <c r="F726" s="38"/>
      <c r="G726" s="38"/>
    </row>
    <row r="727" ht="14.25" customHeight="1">
      <c r="A727" s="36"/>
      <c r="B727" s="31"/>
      <c r="D727" s="38"/>
      <c r="E727" s="38"/>
      <c r="F727" s="38"/>
      <c r="G727" s="38"/>
    </row>
    <row r="728" ht="14.25" customHeight="1">
      <c r="A728" s="36"/>
      <c r="B728" s="31"/>
      <c r="D728" s="38"/>
      <c r="E728" s="38"/>
      <c r="F728" s="38"/>
      <c r="G728" s="38"/>
    </row>
    <row r="729" ht="14.25" customHeight="1">
      <c r="A729" s="36"/>
      <c r="B729" s="31"/>
      <c r="D729" s="38"/>
      <c r="E729" s="38"/>
      <c r="F729" s="38"/>
      <c r="G729" s="38"/>
    </row>
    <row r="730" ht="14.25" customHeight="1">
      <c r="A730" s="36"/>
      <c r="B730" s="31"/>
      <c r="D730" s="38"/>
      <c r="E730" s="38"/>
      <c r="F730" s="38"/>
      <c r="G730" s="38"/>
    </row>
    <row r="731" ht="14.25" customHeight="1">
      <c r="A731" s="36"/>
      <c r="B731" s="31"/>
      <c r="D731" s="38"/>
      <c r="E731" s="38"/>
      <c r="F731" s="38"/>
      <c r="G731" s="38"/>
    </row>
    <row r="732" ht="14.25" customHeight="1">
      <c r="A732" s="36"/>
      <c r="B732" s="31"/>
      <c r="D732" s="38"/>
      <c r="E732" s="38"/>
      <c r="F732" s="38"/>
      <c r="G732" s="38"/>
    </row>
    <row r="733" ht="14.25" customHeight="1">
      <c r="A733" s="36"/>
      <c r="B733" s="31"/>
      <c r="D733" s="38"/>
      <c r="E733" s="38"/>
      <c r="F733" s="38"/>
      <c r="G733" s="38"/>
    </row>
    <row r="734" ht="14.25" customHeight="1">
      <c r="A734" s="36"/>
      <c r="B734" s="31"/>
      <c r="D734" s="38"/>
      <c r="E734" s="38"/>
      <c r="F734" s="38"/>
      <c r="G734" s="38"/>
    </row>
    <row r="735" ht="14.25" customHeight="1">
      <c r="A735" s="36"/>
      <c r="B735" s="31"/>
      <c r="D735" s="38"/>
      <c r="E735" s="38"/>
      <c r="F735" s="38"/>
      <c r="G735" s="38"/>
    </row>
    <row r="736" ht="14.25" customHeight="1">
      <c r="A736" s="36"/>
      <c r="B736" s="31"/>
      <c r="D736" s="38"/>
      <c r="E736" s="38"/>
      <c r="F736" s="38"/>
      <c r="G736" s="38"/>
    </row>
    <row r="737" ht="14.25" customHeight="1">
      <c r="A737" s="36"/>
      <c r="B737" s="31"/>
      <c r="D737" s="38"/>
      <c r="E737" s="38"/>
      <c r="F737" s="38"/>
      <c r="G737" s="38"/>
    </row>
    <row r="738" ht="14.25" customHeight="1">
      <c r="A738" s="36"/>
      <c r="B738" s="31"/>
      <c r="D738" s="38"/>
      <c r="E738" s="38"/>
      <c r="F738" s="38"/>
      <c r="G738" s="38"/>
    </row>
    <row r="739" ht="14.25" customHeight="1">
      <c r="A739" s="36"/>
      <c r="B739" s="31"/>
      <c r="D739" s="38"/>
      <c r="E739" s="38"/>
      <c r="F739" s="38"/>
      <c r="G739" s="38"/>
    </row>
    <row r="740" ht="14.25" customHeight="1">
      <c r="A740" s="36"/>
      <c r="B740" s="31"/>
      <c r="D740" s="38"/>
      <c r="E740" s="38"/>
      <c r="F740" s="38"/>
      <c r="G740" s="38"/>
    </row>
    <row r="741" ht="14.25" customHeight="1">
      <c r="A741" s="36"/>
      <c r="B741" s="31"/>
      <c r="D741" s="38"/>
      <c r="E741" s="38"/>
      <c r="F741" s="38"/>
      <c r="G741" s="38"/>
    </row>
    <row r="742" ht="14.25" customHeight="1">
      <c r="A742" s="36"/>
      <c r="B742" s="31"/>
      <c r="D742" s="38"/>
      <c r="E742" s="38"/>
      <c r="F742" s="38"/>
      <c r="G742" s="38"/>
    </row>
    <row r="743" ht="14.25" customHeight="1">
      <c r="A743" s="36"/>
      <c r="B743" s="31"/>
      <c r="D743" s="38"/>
      <c r="E743" s="38"/>
      <c r="F743" s="38"/>
      <c r="G743" s="38"/>
    </row>
    <row r="744" ht="14.25" customHeight="1">
      <c r="A744" s="36"/>
      <c r="B744" s="31"/>
      <c r="D744" s="38"/>
      <c r="E744" s="38"/>
      <c r="F744" s="38"/>
      <c r="G744" s="38"/>
    </row>
    <row r="745" ht="14.25" customHeight="1">
      <c r="A745" s="36"/>
      <c r="B745" s="31"/>
      <c r="D745" s="38"/>
      <c r="E745" s="38"/>
      <c r="F745" s="38"/>
      <c r="G745" s="38"/>
    </row>
    <row r="746" ht="14.25" customHeight="1">
      <c r="A746" s="36"/>
      <c r="B746" s="31"/>
      <c r="D746" s="38"/>
      <c r="E746" s="38"/>
      <c r="F746" s="38"/>
      <c r="G746" s="38"/>
    </row>
    <row r="747" ht="14.25" customHeight="1">
      <c r="A747" s="36"/>
      <c r="B747" s="31"/>
      <c r="D747" s="38"/>
      <c r="E747" s="38"/>
      <c r="F747" s="38"/>
      <c r="G747" s="38"/>
    </row>
    <row r="748" ht="14.25" customHeight="1">
      <c r="A748" s="36"/>
      <c r="B748" s="31"/>
      <c r="D748" s="38"/>
      <c r="E748" s="38"/>
      <c r="F748" s="38"/>
      <c r="G748" s="38"/>
    </row>
    <row r="749" ht="14.25" customHeight="1">
      <c r="A749" s="36"/>
      <c r="B749" s="31"/>
      <c r="D749" s="38"/>
      <c r="E749" s="38"/>
      <c r="F749" s="38"/>
      <c r="G749" s="38"/>
    </row>
    <row r="750" ht="14.25" customHeight="1">
      <c r="A750" s="36"/>
      <c r="B750" s="31"/>
      <c r="D750" s="38"/>
      <c r="E750" s="38"/>
      <c r="F750" s="38"/>
      <c r="G750" s="38"/>
    </row>
    <row r="751" ht="14.25" customHeight="1">
      <c r="A751" s="36"/>
      <c r="B751" s="31"/>
      <c r="D751" s="38"/>
      <c r="E751" s="38"/>
      <c r="F751" s="38"/>
      <c r="G751" s="38"/>
    </row>
    <row r="752" ht="14.25" customHeight="1">
      <c r="A752" s="36"/>
      <c r="B752" s="31"/>
      <c r="D752" s="38"/>
      <c r="E752" s="38"/>
      <c r="F752" s="38"/>
      <c r="G752" s="38"/>
    </row>
    <row r="753" ht="14.25" customHeight="1">
      <c r="A753" s="36"/>
      <c r="B753" s="31"/>
      <c r="D753" s="38"/>
      <c r="E753" s="38"/>
      <c r="F753" s="38"/>
      <c r="G753" s="38"/>
    </row>
    <row r="754" ht="14.25" customHeight="1">
      <c r="A754" s="36"/>
      <c r="B754" s="31"/>
      <c r="D754" s="38"/>
      <c r="E754" s="38"/>
      <c r="F754" s="38"/>
      <c r="G754" s="38"/>
    </row>
    <row r="755" ht="14.25" customHeight="1">
      <c r="A755" s="36"/>
      <c r="B755" s="31"/>
      <c r="D755" s="38"/>
      <c r="E755" s="38"/>
      <c r="F755" s="38"/>
      <c r="G755" s="38"/>
    </row>
    <row r="756" ht="14.25" customHeight="1">
      <c r="A756" s="36"/>
      <c r="B756" s="31"/>
      <c r="D756" s="38"/>
      <c r="E756" s="38"/>
      <c r="F756" s="38"/>
      <c r="G756" s="38"/>
    </row>
    <row r="757" ht="14.25" customHeight="1">
      <c r="A757" s="36"/>
      <c r="B757" s="31"/>
      <c r="D757" s="38"/>
      <c r="E757" s="38"/>
      <c r="F757" s="38"/>
      <c r="G757" s="38"/>
    </row>
    <row r="758" ht="14.25" customHeight="1">
      <c r="A758" s="36"/>
      <c r="B758" s="31"/>
      <c r="D758" s="38"/>
      <c r="E758" s="38"/>
      <c r="F758" s="38"/>
      <c r="G758" s="38"/>
    </row>
    <row r="759" ht="14.25" customHeight="1">
      <c r="A759" s="36"/>
      <c r="B759" s="31"/>
      <c r="D759" s="38"/>
      <c r="E759" s="38"/>
      <c r="F759" s="38"/>
      <c r="G759" s="38"/>
    </row>
    <row r="760" ht="14.25" customHeight="1">
      <c r="A760" s="36"/>
      <c r="B760" s="31"/>
      <c r="D760" s="38"/>
      <c r="E760" s="38"/>
      <c r="F760" s="38"/>
      <c r="G760" s="38"/>
    </row>
    <row r="761" ht="14.25" customHeight="1">
      <c r="A761" s="36"/>
      <c r="B761" s="31"/>
      <c r="D761" s="38"/>
      <c r="E761" s="38"/>
      <c r="F761" s="38"/>
      <c r="G761" s="38"/>
    </row>
    <row r="762" ht="14.25" customHeight="1">
      <c r="A762" s="36"/>
      <c r="B762" s="31"/>
      <c r="D762" s="38"/>
      <c r="E762" s="38"/>
      <c r="F762" s="38"/>
      <c r="G762" s="38"/>
    </row>
    <row r="763" ht="14.25" customHeight="1">
      <c r="A763" s="36"/>
      <c r="B763" s="31"/>
      <c r="D763" s="38"/>
      <c r="E763" s="38"/>
      <c r="F763" s="38"/>
      <c r="G763" s="38"/>
    </row>
    <row r="764" ht="14.25" customHeight="1">
      <c r="A764" s="36"/>
      <c r="B764" s="31"/>
      <c r="D764" s="38"/>
      <c r="E764" s="38"/>
      <c r="F764" s="38"/>
      <c r="G764" s="38"/>
    </row>
    <row r="765" ht="14.25" customHeight="1">
      <c r="A765" s="36"/>
      <c r="B765" s="31"/>
      <c r="D765" s="38"/>
      <c r="E765" s="38"/>
      <c r="F765" s="38"/>
      <c r="G765" s="38"/>
    </row>
    <row r="766" ht="14.25" customHeight="1">
      <c r="A766" s="36"/>
      <c r="B766" s="31"/>
      <c r="D766" s="38"/>
      <c r="E766" s="38"/>
      <c r="F766" s="38"/>
      <c r="G766" s="38"/>
    </row>
    <row r="767" ht="14.25" customHeight="1">
      <c r="A767" s="36"/>
      <c r="B767" s="31"/>
      <c r="D767" s="38"/>
      <c r="E767" s="38"/>
      <c r="F767" s="38"/>
      <c r="G767" s="38"/>
    </row>
    <row r="768" ht="14.25" customHeight="1">
      <c r="A768" s="36"/>
      <c r="B768" s="31"/>
      <c r="D768" s="38"/>
      <c r="E768" s="38"/>
      <c r="F768" s="38"/>
      <c r="G768" s="38"/>
    </row>
    <row r="769" ht="14.25" customHeight="1">
      <c r="A769" s="36"/>
      <c r="B769" s="31"/>
      <c r="D769" s="38"/>
      <c r="E769" s="38"/>
      <c r="F769" s="38"/>
      <c r="G769" s="38"/>
    </row>
    <row r="770" ht="14.25" customHeight="1">
      <c r="A770" s="36"/>
      <c r="B770" s="31"/>
      <c r="D770" s="38"/>
      <c r="E770" s="38"/>
      <c r="F770" s="38"/>
      <c r="G770" s="38"/>
    </row>
    <row r="771" ht="14.25" customHeight="1">
      <c r="A771" s="36"/>
      <c r="B771" s="31"/>
      <c r="D771" s="38"/>
      <c r="E771" s="38"/>
      <c r="F771" s="38"/>
      <c r="G771" s="38"/>
    </row>
    <row r="772" ht="14.25" customHeight="1">
      <c r="A772" s="36"/>
      <c r="B772" s="31"/>
      <c r="D772" s="38"/>
      <c r="E772" s="38"/>
      <c r="F772" s="38"/>
      <c r="G772" s="38"/>
    </row>
    <row r="773" ht="14.25" customHeight="1">
      <c r="A773" s="36"/>
      <c r="B773" s="31"/>
      <c r="D773" s="38"/>
      <c r="E773" s="38"/>
      <c r="F773" s="38"/>
      <c r="G773" s="38"/>
    </row>
    <row r="774" ht="14.25" customHeight="1">
      <c r="A774" s="36"/>
      <c r="B774" s="31"/>
      <c r="D774" s="38"/>
      <c r="E774" s="38"/>
      <c r="F774" s="38"/>
      <c r="G774" s="38"/>
    </row>
    <row r="775" ht="14.25" customHeight="1">
      <c r="A775" s="36"/>
      <c r="B775" s="31"/>
      <c r="D775" s="38"/>
      <c r="E775" s="38"/>
      <c r="F775" s="38"/>
      <c r="G775" s="38"/>
    </row>
    <row r="776" ht="14.25" customHeight="1">
      <c r="A776" s="36"/>
      <c r="B776" s="31"/>
      <c r="D776" s="38"/>
      <c r="E776" s="38"/>
      <c r="F776" s="38"/>
      <c r="G776" s="38"/>
    </row>
    <row r="777" ht="14.25" customHeight="1">
      <c r="A777" s="36"/>
      <c r="B777" s="31"/>
      <c r="D777" s="38"/>
      <c r="E777" s="38"/>
      <c r="F777" s="38"/>
      <c r="G777" s="38"/>
    </row>
    <row r="778" ht="14.25" customHeight="1">
      <c r="A778" s="36"/>
      <c r="B778" s="31"/>
      <c r="D778" s="38"/>
      <c r="E778" s="38"/>
      <c r="F778" s="38"/>
      <c r="G778" s="38"/>
    </row>
    <row r="779" ht="14.25" customHeight="1">
      <c r="A779" s="36"/>
      <c r="B779" s="31"/>
      <c r="D779" s="38"/>
      <c r="E779" s="38"/>
      <c r="F779" s="38"/>
      <c r="G779" s="38"/>
    </row>
    <row r="780" ht="14.25" customHeight="1">
      <c r="A780" s="36"/>
      <c r="B780" s="31"/>
      <c r="D780" s="38"/>
      <c r="E780" s="38"/>
      <c r="F780" s="38"/>
      <c r="G780" s="38"/>
    </row>
    <row r="781" ht="14.25" customHeight="1">
      <c r="A781" s="36"/>
      <c r="B781" s="31"/>
      <c r="D781" s="38"/>
      <c r="E781" s="38"/>
      <c r="F781" s="38"/>
      <c r="G781" s="38"/>
    </row>
    <row r="782" ht="14.25" customHeight="1">
      <c r="A782" s="36"/>
      <c r="B782" s="31"/>
      <c r="D782" s="38"/>
      <c r="E782" s="38"/>
      <c r="F782" s="38"/>
      <c r="G782" s="38"/>
    </row>
    <row r="783" ht="14.25" customHeight="1">
      <c r="A783" s="36"/>
      <c r="B783" s="31"/>
      <c r="D783" s="38"/>
      <c r="E783" s="38"/>
      <c r="F783" s="38"/>
      <c r="G783" s="38"/>
    </row>
    <row r="784" ht="14.25" customHeight="1">
      <c r="A784" s="36"/>
      <c r="B784" s="31"/>
      <c r="D784" s="38"/>
      <c r="E784" s="38"/>
      <c r="F784" s="38"/>
      <c r="G784" s="38"/>
    </row>
    <row r="785" ht="14.25" customHeight="1">
      <c r="A785" s="36"/>
      <c r="B785" s="31"/>
      <c r="D785" s="38"/>
      <c r="E785" s="38"/>
      <c r="F785" s="38"/>
      <c r="G785" s="38"/>
    </row>
    <row r="786" ht="14.25" customHeight="1">
      <c r="A786" s="36"/>
      <c r="B786" s="31"/>
      <c r="D786" s="38"/>
      <c r="E786" s="38"/>
      <c r="F786" s="38"/>
      <c r="G786" s="38"/>
    </row>
    <row r="787" ht="14.25" customHeight="1">
      <c r="A787" s="36"/>
      <c r="B787" s="31"/>
      <c r="D787" s="38"/>
      <c r="E787" s="38"/>
      <c r="F787" s="38"/>
      <c r="G787" s="38"/>
    </row>
    <row r="788" ht="14.25" customHeight="1">
      <c r="A788" s="36"/>
      <c r="B788" s="31"/>
      <c r="D788" s="38"/>
      <c r="E788" s="38"/>
      <c r="F788" s="38"/>
      <c r="G788" s="38"/>
    </row>
    <row r="789" ht="14.25" customHeight="1">
      <c r="A789" s="36"/>
      <c r="B789" s="31"/>
      <c r="D789" s="38"/>
      <c r="E789" s="38"/>
      <c r="F789" s="38"/>
      <c r="G789" s="38"/>
    </row>
    <row r="790" ht="14.25" customHeight="1">
      <c r="A790" s="36"/>
      <c r="B790" s="31"/>
      <c r="D790" s="38"/>
      <c r="E790" s="38"/>
      <c r="F790" s="38"/>
      <c r="G790" s="38"/>
    </row>
    <row r="791" ht="14.25" customHeight="1">
      <c r="A791" s="36"/>
      <c r="B791" s="31"/>
      <c r="D791" s="38"/>
      <c r="E791" s="38"/>
      <c r="F791" s="38"/>
      <c r="G791" s="38"/>
    </row>
    <row r="792" ht="14.25" customHeight="1">
      <c r="A792" s="36"/>
      <c r="B792" s="31"/>
      <c r="D792" s="38"/>
      <c r="E792" s="38"/>
      <c r="F792" s="38"/>
      <c r="G792" s="38"/>
    </row>
    <row r="793" ht="14.25" customHeight="1">
      <c r="A793" s="36"/>
      <c r="B793" s="31"/>
      <c r="D793" s="38"/>
      <c r="E793" s="38"/>
      <c r="F793" s="38"/>
      <c r="G793" s="38"/>
    </row>
    <row r="794" ht="14.25" customHeight="1">
      <c r="A794" s="36"/>
      <c r="B794" s="31"/>
      <c r="D794" s="38"/>
      <c r="E794" s="38"/>
      <c r="F794" s="38"/>
      <c r="G794" s="38"/>
    </row>
    <row r="795" ht="14.25" customHeight="1">
      <c r="A795" s="36"/>
      <c r="B795" s="31"/>
      <c r="D795" s="38"/>
      <c r="E795" s="38"/>
      <c r="F795" s="38"/>
      <c r="G795" s="38"/>
    </row>
    <row r="796" ht="14.25" customHeight="1">
      <c r="A796" s="36"/>
      <c r="B796" s="31"/>
      <c r="D796" s="38"/>
      <c r="E796" s="38"/>
      <c r="F796" s="38"/>
      <c r="G796" s="38"/>
    </row>
    <row r="797" ht="14.25" customHeight="1">
      <c r="A797" s="36"/>
      <c r="B797" s="31"/>
      <c r="D797" s="38"/>
      <c r="E797" s="38"/>
      <c r="F797" s="38"/>
      <c r="G797" s="38"/>
    </row>
    <row r="798" ht="14.25" customHeight="1">
      <c r="A798" s="36"/>
      <c r="B798" s="31"/>
      <c r="D798" s="38"/>
      <c r="E798" s="38"/>
      <c r="F798" s="38"/>
      <c r="G798" s="38"/>
    </row>
    <row r="799" ht="14.25" customHeight="1">
      <c r="A799" s="36"/>
      <c r="B799" s="31"/>
      <c r="D799" s="38"/>
      <c r="E799" s="38"/>
      <c r="F799" s="38"/>
      <c r="G799" s="38"/>
    </row>
    <row r="800" ht="14.25" customHeight="1">
      <c r="A800" s="36"/>
      <c r="B800" s="31"/>
      <c r="D800" s="38"/>
      <c r="E800" s="38"/>
      <c r="F800" s="38"/>
      <c r="G800" s="38"/>
    </row>
    <row r="801" ht="14.25" customHeight="1">
      <c r="A801" s="36"/>
      <c r="B801" s="31"/>
      <c r="D801" s="38"/>
      <c r="E801" s="38"/>
      <c r="F801" s="38"/>
      <c r="G801" s="38"/>
    </row>
    <row r="802" ht="14.25" customHeight="1">
      <c r="A802" s="36"/>
      <c r="B802" s="31"/>
      <c r="D802" s="38"/>
      <c r="E802" s="38"/>
      <c r="F802" s="38"/>
      <c r="G802" s="38"/>
    </row>
    <row r="803" ht="14.25" customHeight="1">
      <c r="A803" s="36"/>
      <c r="B803" s="31"/>
      <c r="D803" s="38"/>
      <c r="E803" s="38"/>
      <c r="F803" s="38"/>
      <c r="G803" s="38"/>
    </row>
    <row r="804" ht="14.25" customHeight="1">
      <c r="A804" s="36"/>
      <c r="B804" s="31"/>
      <c r="D804" s="38"/>
      <c r="E804" s="38"/>
      <c r="F804" s="38"/>
      <c r="G804" s="38"/>
    </row>
    <row r="805" ht="14.25" customHeight="1">
      <c r="A805" s="36"/>
      <c r="B805" s="31"/>
      <c r="D805" s="38"/>
      <c r="E805" s="38"/>
      <c r="F805" s="38"/>
      <c r="G805" s="38"/>
    </row>
    <row r="806" ht="14.25" customHeight="1">
      <c r="A806" s="36"/>
      <c r="B806" s="31"/>
      <c r="D806" s="38"/>
      <c r="E806" s="38"/>
      <c r="F806" s="38"/>
      <c r="G806" s="38"/>
    </row>
    <row r="807" ht="14.25" customHeight="1">
      <c r="A807" s="36"/>
      <c r="B807" s="31"/>
      <c r="D807" s="38"/>
      <c r="E807" s="38"/>
      <c r="F807" s="38"/>
      <c r="G807" s="38"/>
    </row>
    <row r="808" ht="14.25" customHeight="1">
      <c r="A808" s="36"/>
      <c r="B808" s="31"/>
      <c r="D808" s="38"/>
      <c r="E808" s="38"/>
      <c r="F808" s="38"/>
      <c r="G808" s="38"/>
    </row>
    <row r="809" ht="14.25" customHeight="1">
      <c r="A809" s="36"/>
      <c r="B809" s="31"/>
      <c r="D809" s="38"/>
      <c r="E809" s="38"/>
      <c r="F809" s="38"/>
      <c r="G809" s="38"/>
    </row>
    <row r="810" ht="14.25" customHeight="1">
      <c r="A810" s="36"/>
      <c r="B810" s="31"/>
      <c r="D810" s="38"/>
      <c r="E810" s="38"/>
      <c r="F810" s="38"/>
      <c r="G810" s="38"/>
    </row>
    <row r="811" ht="14.25" customHeight="1">
      <c r="A811" s="36"/>
      <c r="B811" s="31"/>
      <c r="D811" s="38"/>
      <c r="E811" s="38"/>
      <c r="F811" s="38"/>
      <c r="G811" s="38"/>
    </row>
    <row r="812" ht="14.25" customHeight="1">
      <c r="A812" s="36"/>
      <c r="B812" s="31"/>
      <c r="D812" s="38"/>
      <c r="E812" s="38"/>
      <c r="F812" s="38"/>
      <c r="G812" s="38"/>
    </row>
    <row r="813" ht="14.25" customHeight="1">
      <c r="A813" s="36"/>
      <c r="B813" s="31"/>
      <c r="D813" s="38"/>
      <c r="E813" s="38"/>
      <c r="F813" s="38"/>
      <c r="G813" s="38"/>
    </row>
    <row r="814" ht="14.25" customHeight="1">
      <c r="A814" s="36"/>
      <c r="B814" s="31"/>
      <c r="D814" s="38"/>
      <c r="E814" s="38"/>
      <c r="F814" s="38"/>
      <c r="G814" s="38"/>
    </row>
    <row r="815" ht="14.25" customHeight="1">
      <c r="A815" s="36"/>
      <c r="B815" s="31"/>
      <c r="D815" s="38"/>
      <c r="E815" s="38"/>
      <c r="F815" s="38"/>
      <c r="G815" s="38"/>
    </row>
    <row r="816" ht="14.25" customHeight="1">
      <c r="A816" s="36"/>
      <c r="B816" s="31"/>
      <c r="D816" s="38"/>
      <c r="E816" s="38"/>
      <c r="F816" s="38"/>
      <c r="G816" s="38"/>
    </row>
    <row r="817" ht="14.25" customHeight="1">
      <c r="A817" s="36"/>
      <c r="B817" s="31"/>
      <c r="D817" s="38"/>
      <c r="E817" s="38"/>
      <c r="F817" s="38"/>
      <c r="G817" s="38"/>
    </row>
    <row r="818" ht="14.25" customHeight="1">
      <c r="A818" s="36"/>
      <c r="B818" s="31"/>
      <c r="D818" s="38"/>
      <c r="E818" s="38"/>
      <c r="F818" s="38"/>
      <c r="G818" s="38"/>
    </row>
    <row r="819" ht="14.25" customHeight="1">
      <c r="A819" s="36"/>
      <c r="B819" s="31"/>
      <c r="D819" s="38"/>
      <c r="E819" s="38"/>
      <c r="F819" s="38"/>
      <c r="G819" s="38"/>
    </row>
    <row r="820" ht="14.25" customHeight="1">
      <c r="A820" s="36"/>
      <c r="B820" s="31"/>
      <c r="D820" s="38"/>
      <c r="E820" s="38"/>
      <c r="F820" s="38"/>
      <c r="G820" s="38"/>
    </row>
    <row r="821" ht="14.25" customHeight="1">
      <c r="A821" s="36"/>
      <c r="B821" s="31"/>
      <c r="D821" s="38"/>
      <c r="E821" s="38"/>
      <c r="F821" s="38"/>
      <c r="G821" s="38"/>
    </row>
    <row r="822" ht="14.25" customHeight="1">
      <c r="A822" s="36"/>
      <c r="B822" s="31"/>
      <c r="D822" s="38"/>
      <c r="E822" s="38"/>
      <c r="F822" s="38"/>
      <c r="G822" s="38"/>
    </row>
    <row r="823" ht="14.25" customHeight="1">
      <c r="A823" s="36"/>
      <c r="B823" s="31"/>
      <c r="D823" s="38"/>
      <c r="E823" s="38"/>
      <c r="F823" s="38"/>
      <c r="G823" s="38"/>
    </row>
    <row r="824" ht="14.25" customHeight="1">
      <c r="A824" s="36"/>
      <c r="B824" s="31"/>
      <c r="D824" s="38"/>
      <c r="E824" s="38"/>
      <c r="F824" s="38"/>
      <c r="G824" s="38"/>
    </row>
    <row r="825" ht="14.25" customHeight="1">
      <c r="A825" s="36"/>
      <c r="B825" s="31"/>
      <c r="D825" s="38"/>
      <c r="E825" s="38"/>
      <c r="F825" s="38"/>
      <c r="G825" s="38"/>
    </row>
    <row r="826" ht="14.25" customHeight="1">
      <c r="A826" s="36"/>
      <c r="B826" s="31"/>
      <c r="D826" s="38"/>
      <c r="E826" s="38"/>
      <c r="F826" s="38"/>
      <c r="G826" s="38"/>
    </row>
    <row r="827" ht="14.25" customHeight="1">
      <c r="A827" s="36"/>
      <c r="B827" s="31"/>
      <c r="D827" s="38"/>
      <c r="E827" s="38"/>
      <c r="F827" s="38"/>
      <c r="G827" s="38"/>
    </row>
    <row r="828" ht="14.25" customHeight="1">
      <c r="A828" s="36"/>
      <c r="B828" s="31"/>
      <c r="D828" s="38"/>
      <c r="E828" s="38"/>
      <c r="F828" s="38"/>
      <c r="G828" s="38"/>
    </row>
    <row r="829" ht="14.25" customHeight="1">
      <c r="A829" s="36"/>
      <c r="B829" s="31"/>
      <c r="D829" s="38"/>
      <c r="E829" s="38"/>
      <c r="F829" s="38"/>
      <c r="G829" s="38"/>
    </row>
    <row r="830" ht="14.25" customHeight="1">
      <c r="A830" s="36"/>
      <c r="B830" s="31"/>
      <c r="D830" s="38"/>
      <c r="E830" s="38"/>
      <c r="F830" s="38"/>
      <c r="G830" s="38"/>
    </row>
    <row r="831" ht="14.25" customHeight="1">
      <c r="A831" s="36"/>
      <c r="B831" s="31"/>
      <c r="D831" s="38"/>
      <c r="E831" s="38"/>
      <c r="F831" s="38"/>
      <c r="G831" s="38"/>
    </row>
    <row r="832" ht="14.25" customHeight="1">
      <c r="A832" s="36"/>
      <c r="B832" s="31"/>
      <c r="D832" s="38"/>
      <c r="E832" s="38"/>
      <c r="F832" s="38"/>
      <c r="G832" s="38"/>
    </row>
    <row r="833" ht="14.25" customHeight="1">
      <c r="A833" s="36"/>
      <c r="B833" s="31"/>
      <c r="D833" s="38"/>
      <c r="E833" s="38"/>
      <c r="F833" s="38"/>
      <c r="G833" s="38"/>
    </row>
    <row r="834" ht="14.25" customHeight="1">
      <c r="A834" s="36"/>
      <c r="B834" s="31"/>
      <c r="D834" s="38"/>
      <c r="E834" s="38"/>
      <c r="F834" s="38"/>
      <c r="G834" s="38"/>
    </row>
    <row r="835" ht="14.25" customHeight="1">
      <c r="A835" s="36"/>
      <c r="B835" s="31"/>
      <c r="D835" s="38"/>
      <c r="E835" s="38"/>
      <c r="F835" s="38"/>
      <c r="G835" s="38"/>
    </row>
    <row r="836" ht="14.25" customHeight="1">
      <c r="A836" s="36"/>
      <c r="B836" s="31"/>
      <c r="D836" s="38"/>
      <c r="E836" s="38"/>
      <c r="F836" s="38"/>
      <c r="G836" s="38"/>
    </row>
    <row r="837" ht="14.25" customHeight="1">
      <c r="A837" s="36"/>
      <c r="B837" s="31"/>
      <c r="D837" s="38"/>
      <c r="E837" s="38"/>
      <c r="F837" s="38"/>
      <c r="G837" s="38"/>
    </row>
    <row r="838" ht="14.25" customHeight="1">
      <c r="A838" s="36"/>
      <c r="B838" s="31"/>
      <c r="D838" s="38"/>
      <c r="E838" s="38"/>
      <c r="F838" s="38"/>
      <c r="G838" s="38"/>
    </row>
    <row r="839" ht="14.25" customHeight="1">
      <c r="A839" s="36"/>
      <c r="B839" s="31"/>
      <c r="D839" s="38"/>
      <c r="E839" s="38"/>
      <c r="F839" s="38"/>
      <c r="G839" s="38"/>
    </row>
    <row r="840" ht="14.25" customHeight="1">
      <c r="A840" s="36"/>
      <c r="B840" s="31"/>
      <c r="D840" s="38"/>
      <c r="E840" s="38"/>
      <c r="F840" s="38"/>
      <c r="G840" s="38"/>
    </row>
    <row r="841" ht="14.25" customHeight="1">
      <c r="A841" s="36"/>
      <c r="B841" s="31"/>
      <c r="D841" s="38"/>
      <c r="E841" s="38"/>
      <c r="F841" s="38"/>
      <c r="G841" s="38"/>
    </row>
    <row r="842" ht="14.25" customHeight="1">
      <c r="A842" s="36"/>
      <c r="B842" s="31"/>
      <c r="D842" s="38"/>
      <c r="E842" s="38"/>
      <c r="F842" s="38"/>
      <c r="G842" s="38"/>
    </row>
    <row r="843" ht="14.25" customHeight="1">
      <c r="A843" s="36"/>
      <c r="B843" s="31"/>
      <c r="D843" s="38"/>
      <c r="E843" s="38"/>
      <c r="F843" s="38"/>
      <c r="G843" s="38"/>
    </row>
    <row r="844" ht="14.25" customHeight="1">
      <c r="A844" s="36"/>
      <c r="B844" s="31"/>
      <c r="D844" s="38"/>
      <c r="E844" s="38"/>
      <c r="F844" s="38"/>
      <c r="G844" s="38"/>
    </row>
    <row r="845" ht="14.25" customHeight="1">
      <c r="A845" s="36"/>
      <c r="B845" s="31"/>
      <c r="D845" s="38"/>
      <c r="E845" s="38"/>
      <c r="F845" s="38"/>
      <c r="G845" s="38"/>
    </row>
    <row r="846" ht="14.25" customHeight="1">
      <c r="A846" s="36"/>
      <c r="B846" s="31"/>
      <c r="D846" s="38"/>
      <c r="E846" s="38"/>
      <c r="F846" s="38"/>
      <c r="G846" s="38"/>
    </row>
    <row r="847" ht="14.25" customHeight="1">
      <c r="A847" s="36"/>
      <c r="B847" s="31"/>
      <c r="D847" s="38"/>
      <c r="E847" s="38"/>
      <c r="F847" s="38"/>
      <c r="G847" s="38"/>
    </row>
    <row r="848" ht="14.25" customHeight="1">
      <c r="A848" s="36"/>
      <c r="B848" s="31"/>
      <c r="D848" s="38"/>
      <c r="E848" s="38"/>
      <c r="F848" s="38"/>
      <c r="G848" s="38"/>
    </row>
    <row r="849" ht="14.25" customHeight="1">
      <c r="A849" s="36"/>
      <c r="B849" s="31"/>
      <c r="D849" s="38"/>
      <c r="E849" s="38"/>
      <c r="F849" s="38"/>
      <c r="G849" s="38"/>
    </row>
    <row r="850" ht="14.25" customHeight="1">
      <c r="A850" s="36"/>
      <c r="B850" s="31"/>
      <c r="D850" s="38"/>
      <c r="E850" s="38"/>
      <c r="F850" s="38"/>
      <c r="G850" s="38"/>
    </row>
    <row r="851" ht="14.25" customHeight="1">
      <c r="A851" s="36"/>
      <c r="B851" s="31"/>
      <c r="D851" s="38"/>
      <c r="E851" s="38"/>
      <c r="F851" s="38"/>
      <c r="G851" s="38"/>
    </row>
    <row r="852" ht="14.25" customHeight="1">
      <c r="A852" s="36"/>
      <c r="B852" s="31"/>
      <c r="D852" s="38"/>
      <c r="E852" s="38"/>
      <c r="F852" s="38"/>
      <c r="G852" s="38"/>
    </row>
    <row r="853" ht="14.25" customHeight="1">
      <c r="A853" s="36"/>
      <c r="B853" s="31"/>
      <c r="D853" s="38"/>
      <c r="E853" s="38"/>
      <c r="F853" s="38"/>
      <c r="G853" s="38"/>
    </row>
    <row r="854" ht="14.25" customHeight="1">
      <c r="A854" s="36"/>
      <c r="B854" s="31"/>
      <c r="D854" s="38"/>
      <c r="E854" s="38"/>
      <c r="F854" s="38"/>
      <c r="G854" s="38"/>
    </row>
    <row r="855" ht="14.25" customHeight="1">
      <c r="A855" s="36"/>
      <c r="B855" s="31"/>
      <c r="D855" s="38"/>
      <c r="E855" s="38"/>
      <c r="F855" s="38"/>
      <c r="G855" s="38"/>
    </row>
    <row r="856" ht="14.25" customHeight="1">
      <c r="A856" s="36"/>
      <c r="B856" s="31"/>
      <c r="D856" s="38"/>
      <c r="E856" s="38"/>
      <c r="F856" s="38"/>
      <c r="G856" s="38"/>
    </row>
    <row r="857" ht="14.25" customHeight="1">
      <c r="A857" s="36"/>
      <c r="B857" s="31"/>
      <c r="D857" s="38"/>
      <c r="E857" s="38"/>
      <c r="F857" s="38"/>
      <c r="G857" s="38"/>
    </row>
    <row r="858" ht="14.25" customHeight="1">
      <c r="A858" s="36"/>
      <c r="B858" s="31"/>
      <c r="D858" s="38"/>
      <c r="E858" s="38"/>
      <c r="F858" s="38"/>
      <c r="G858" s="38"/>
    </row>
    <row r="859" ht="14.25" customHeight="1">
      <c r="A859" s="36"/>
      <c r="B859" s="31"/>
      <c r="D859" s="38"/>
      <c r="E859" s="38"/>
      <c r="F859" s="38"/>
      <c r="G859" s="38"/>
    </row>
    <row r="860" ht="14.25" customHeight="1">
      <c r="A860" s="36"/>
      <c r="B860" s="31"/>
      <c r="D860" s="38"/>
      <c r="E860" s="38"/>
      <c r="F860" s="38"/>
      <c r="G860" s="38"/>
    </row>
    <row r="861" ht="14.25" customHeight="1">
      <c r="A861" s="36"/>
      <c r="B861" s="31"/>
      <c r="D861" s="38"/>
      <c r="E861" s="38"/>
      <c r="F861" s="38"/>
      <c r="G861" s="38"/>
    </row>
    <row r="862" ht="14.25" customHeight="1">
      <c r="A862" s="36"/>
      <c r="B862" s="31"/>
      <c r="D862" s="38"/>
      <c r="E862" s="38"/>
      <c r="F862" s="38"/>
      <c r="G862" s="38"/>
    </row>
    <row r="863" ht="14.25" customHeight="1">
      <c r="A863" s="36"/>
      <c r="B863" s="31"/>
      <c r="D863" s="38"/>
      <c r="E863" s="38"/>
      <c r="F863" s="38"/>
      <c r="G863" s="38"/>
    </row>
    <row r="864" ht="14.25" customHeight="1">
      <c r="A864" s="36"/>
      <c r="B864" s="31"/>
      <c r="D864" s="38"/>
      <c r="E864" s="38"/>
      <c r="F864" s="38"/>
      <c r="G864" s="38"/>
    </row>
    <row r="865" ht="14.25" customHeight="1">
      <c r="A865" s="36"/>
      <c r="B865" s="31"/>
      <c r="D865" s="38"/>
      <c r="E865" s="38"/>
      <c r="F865" s="38"/>
      <c r="G865" s="38"/>
    </row>
    <row r="866" ht="14.25" customHeight="1">
      <c r="A866" s="36"/>
      <c r="B866" s="31"/>
      <c r="D866" s="38"/>
      <c r="E866" s="38"/>
      <c r="F866" s="38"/>
      <c r="G866" s="38"/>
    </row>
    <row r="867" ht="14.25" customHeight="1">
      <c r="A867" s="36"/>
      <c r="B867" s="31"/>
      <c r="D867" s="38"/>
      <c r="E867" s="38"/>
      <c r="F867" s="38"/>
      <c r="G867" s="38"/>
    </row>
    <row r="868" ht="14.25" customHeight="1">
      <c r="A868" s="36"/>
      <c r="B868" s="31"/>
      <c r="D868" s="38"/>
      <c r="E868" s="38"/>
      <c r="F868" s="38"/>
      <c r="G868" s="38"/>
    </row>
    <row r="869" ht="14.25" customHeight="1">
      <c r="A869" s="36"/>
      <c r="B869" s="31"/>
      <c r="D869" s="38"/>
      <c r="E869" s="38"/>
      <c r="F869" s="38"/>
      <c r="G869" s="38"/>
    </row>
    <row r="870" ht="14.25" customHeight="1">
      <c r="A870" s="36"/>
      <c r="B870" s="31"/>
      <c r="D870" s="38"/>
      <c r="E870" s="38"/>
      <c r="F870" s="38"/>
      <c r="G870" s="38"/>
    </row>
    <row r="871" ht="14.25" customHeight="1">
      <c r="A871" s="36"/>
      <c r="B871" s="31"/>
      <c r="D871" s="38"/>
      <c r="E871" s="38"/>
      <c r="F871" s="38"/>
      <c r="G871" s="38"/>
    </row>
    <row r="872" ht="14.25" customHeight="1">
      <c r="A872" s="36"/>
      <c r="B872" s="31"/>
      <c r="D872" s="38"/>
      <c r="E872" s="38"/>
      <c r="F872" s="38"/>
      <c r="G872" s="38"/>
    </row>
    <row r="873" ht="14.25" customHeight="1">
      <c r="A873" s="36"/>
      <c r="B873" s="31"/>
      <c r="D873" s="38"/>
      <c r="E873" s="38"/>
      <c r="F873" s="38"/>
      <c r="G873" s="38"/>
    </row>
    <row r="874" ht="14.25" customHeight="1">
      <c r="A874" s="36"/>
      <c r="B874" s="31"/>
      <c r="D874" s="38"/>
      <c r="E874" s="38"/>
      <c r="F874" s="38"/>
      <c r="G874" s="38"/>
    </row>
    <row r="875" ht="14.25" customHeight="1">
      <c r="A875" s="36"/>
      <c r="B875" s="31"/>
      <c r="D875" s="38"/>
      <c r="E875" s="38"/>
      <c r="F875" s="38"/>
      <c r="G875" s="38"/>
    </row>
    <row r="876" ht="14.25" customHeight="1">
      <c r="A876" s="36"/>
      <c r="B876" s="31"/>
      <c r="D876" s="38"/>
      <c r="E876" s="38"/>
      <c r="F876" s="38"/>
      <c r="G876" s="38"/>
    </row>
    <row r="877" ht="14.25" customHeight="1">
      <c r="A877" s="36"/>
      <c r="B877" s="31"/>
      <c r="D877" s="38"/>
      <c r="E877" s="38"/>
      <c r="F877" s="38"/>
      <c r="G877" s="38"/>
    </row>
    <row r="878" ht="14.25" customHeight="1">
      <c r="A878" s="36"/>
      <c r="B878" s="31"/>
      <c r="D878" s="38"/>
      <c r="E878" s="38"/>
      <c r="F878" s="38"/>
      <c r="G878" s="38"/>
    </row>
    <row r="879" ht="14.25" customHeight="1">
      <c r="A879" s="36"/>
      <c r="B879" s="31"/>
      <c r="D879" s="38"/>
      <c r="E879" s="38"/>
      <c r="F879" s="38"/>
      <c r="G879" s="38"/>
    </row>
    <row r="880" ht="14.25" customHeight="1">
      <c r="A880" s="36"/>
      <c r="B880" s="31"/>
      <c r="D880" s="38"/>
      <c r="E880" s="38"/>
      <c r="F880" s="38"/>
      <c r="G880" s="38"/>
    </row>
    <row r="881" ht="14.25" customHeight="1">
      <c r="A881" s="36"/>
      <c r="B881" s="31"/>
      <c r="D881" s="38"/>
      <c r="E881" s="38"/>
      <c r="F881" s="38"/>
      <c r="G881" s="38"/>
    </row>
    <row r="882" ht="14.25" customHeight="1">
      <c r="A882" s="36"/>
      <c r="B882" s="31"/>
      <c r="D882" s="38"/>
      <c r="E882" s="38"/>
      <c r="F882" s="38"/>
      <c r="G882" s="38"/>
    </row>
    <row r="883" ht="14.25" customHeight="1">
      <c r="A883" s="36"/>
      <c r="B883" s="31"/>
      <c r="D883" s="38"/>
      <c r="E883" s="38"/>
      <c r="F883" s="38"/>
      <c r="G883" s="38"/>
    </row>
    <row r="884" ht="14.25" customHeight="1">
      <c r="A884" s="36"/>
      <c r="B884" s="31"/>
      <c r="D884" s="38"/>
      <c r="E884" s="38"/>
      <c r="F884" s="38"/>
      <c r="G884" s="38"/>
    </row>
    <row r="885" ht="14.25" customHeight="1">
      <c r="A885" s="36"/>
      <c r="B885" s="31"/>
      <c r="D885" s="38"/>
      <c r="E885" s="38"/>
      <c r="F885" s="38"/>
      <c r="G885" s="38"/>
    </row>
    <row r="886" ht="14.25" customHeight="1">
      <c r="A886" s="36"/>
      <c r="B886" s="31"/>
      <c r="D886" s="38"/>
      <c r="E886" s="38"/>
      <c r="F886" s="38"/>
      <c r="G886" s="38"/>
    </row>
    <row r="887" ht="14.25" customHeight="1">
      <c r="A887" s="36"/>
      <c r="B887" s="31"/>
      <c r="D887" s="38"/>
      <c r="E887" s="38"/>
      <c r="F887" s="38"/>
      <c r="G887" s="38"/>
    </row>
    <row r="888" ht="14.25" customHeight="1">
      <c r="A888" s="36"/>
      <c r="B888" s="31"/>
      <c r="D888" s="38"/>
      <c r="E888" s="38"/>
      <c r="F888" s="38"/>
      <c r="G888" s="38"/>
    </row>
    <row r="889" ht="14.25" customHeight="1">
      <c r="A889" s="36"/>
      <c r="B889" s="31"/>
      <c r="D889" s="38"/>
      <c r="E889" s="38"/>
      <c r="F889" s="38"/>
      <c r="G889" s="38"/>
    </row>
    <row r="890" ht="14.25" customHeight="1">
      <c r="A890" s="36"/>
      <c r="B890" s="31"/>
      <c r="D890" s="38"/>
      <c r="E890" s="38"/>
      <c r="F890" s="38"/>
      <c r="G890" s="38"/>
    </row>
    <row r="891" ht="14.25" customHeight="1">
      <c r="A891" s="36"/>
      <c r="B891" s="31"/>
      <c r="D891" s="38"/>
      <c r="E891" s="38"/>
      <c r="F891" s="38"/>
      <c r="G891" s="38"/>
    </row>
    <row r="892" ht="14.25" customHeight="1">
      <c r="A892" s="36"/>
      <c r="B892" s="31"/>
      <c r="D892" s="38"/>
      <c r="E892" s="38"/>
      <c r="F892" s="38"/>
      <c r="G892" s="38"/>
    </row>
    <row r="893" ht="14.25" customHeight="1">
      <c r="A893" s="36"/>
      <c r="B893" s="31"/>
      <c r="D893" s="38"/>
      <c r="E893" s="38"/>
      <c r="F893" s="38"/>
      <c r="G893" s="38"/>
    </row>
    <row r="894" ht="14.25" customHeight="1">
      <c r="A894" s="36"/>
      <c r="B894" s="31"/>
      <c r="D894" s="38"/>
      <c r="E894" s="38"/>
      <c r="F894" s="38"/>
      <c r="G894" s="38"/>
    </row>
    <row r="895" ht="14.25" customHeight="1">
      <c r="A895" s="36"/>
      <c r="B895" s="31"/>
      <c r="D895" s="38"/>
      <c r="E895" s="38"/>
      <c r="F895" s="38"/>
      <c r="G895" s="38"/>
    </row>
    <row r="896" ht="14.25" customHeight="1">
      <c r="A896" s="36"/>
      <c r="B896" s="31"/>
      <c r="D896" s="38"/>
      <c r="E896" s="38"/>
      <c r="F896" s="38"/>
      <c r="G896" s="38"/>
    </row>
    <row r="897" ht="14.25" customHeight="1">
      <c r="A897" s="36"/>
      <c r="B897" s="31"/>
      <c r="D897" s="38"/>
      <c r="E897" s="38"/>
      <c r="F897" s="38"/>
      <c r="G897" s="38"/>
    </row>
    <row r="898" ht="14.25" customHeight="1">
      <c r="A898" s="36"/>
      <c r="B898" s="31"/>
      <c r="D898" s="38"/>
      <c r="E898" s="38"/>
      <c r="F898" s="38"/>
      <c r="G898" s="38"/>
    </row>
    <row r="899" ht="14.25" customHeight="1">
      <c r="A899" s="36"/>
      <c r="B899" s="31"/>
      <c r="D899" s="38"/>
      <c r="E899" s="38"/>
      <c r="F899" s="38"/>
      <c r="G899" s="38"/>
    </row>
    <row r="900" ht="14.25" customHeight="1">
      <c r="A900" s="36"/>
      <c r="B900" s="31"/>
      <c r="D900" s="38"/>
      <c r="E900" s="38"/>
      <c r="F900" s="38"/>
      <c r="G900" s="38"/>
    </row>
    <row r="901" ht="14.25" customHeight="1">
      <c r="A901" s="36"/>
      <c r="B901" s="31"/>
      <c r="D901" s="38"/>
      <c r="E901" s="38"/>
      <c r="F901" s="38"/>
      <c r="G901" s="38"/>
    </row>
    <row r="902" ht="14.25" customHeight="1">
      <c r="A902" s="36"/>
      <c r="B902" s="31"/>
      <c r="D902" s="38"/>
      <c r="E902" s="38"/>
      <c r="F902" s="38"/>
      <c r="G902" s="38"/>
    </row>
    <row r="903" ht="14.25" customHeight="1">
      <c r="A903" s="36"/>
      <c r="B903" s="31"/>
      <c r="D903" s="38"/>
      <c r="E903" s="38"/>
      <c r="F903" s="38"/>
      <c r="G903" s="38"/>
    </row>
    <row r="904" ht="14.25" customHeight="1">
      <c r="A904" s="36"/>
      <c r="B904" s="31"/>
      <c r="D904" s="38"/>
      <c r="E904" s="38"/>
      <c r="F904" s="38"/>
      <c r="G904" s="38"/>
    </row>
    <row r="905" ht="14.25" customHeight="1">
      <c r="A905" s="36"/>
      <c r="B905" s="31"/>
      <c r="D905" s="38"/>
      <c r="E905" s="38"/>
      <c r="F905" s="38"/>
      <c r="G905" s="38"/>
    </row>
    <row r="906" ht="14.25" customHeight="1">
      <c r="A906" s="36"/>
      <c r="B906" s="31"/>
      <c r="D906" s="38"/>
      <c r="E906" s="38"/>
      <c r="F906" s="38"/>
      <c r="G906" s="38"/>
    </row>
    <row r="907" ht="14.25" customHeight="1">
      <c r="A907" s="36"/>
      <c r="B907" s="31"/>
      <c r="D907" s="38"/>
      <c r="E907" s="38"/>
      <c r="F907" s="38"/>
      <c r="G907" s="38"/>
    </row>
    <row r="908" ht="14.25" customHeight="1">
      <c r="A908" s="36"/>
      <c r="B908" s="31"/>
      <c r="D908" s="38"/>
      <c r="E908" s="38"/>
      <c r="F908" s="38"/>
      <c r="G908" s="38"/>
    </row>
    <row r="909" ht="14.25" customHeight="1">
      <c r="A909" s="36"/>
      <c r="B909" s="31"/>
      <c r="D909" s="38"/>
      <c r="E909" s="38"/>
      <c r="F909" s="38"/>
      <c r="G909" s="38"/>
    </row>
    <row r="910" ht="14.25" customHeight="1">
      <c r="A910" s="36"/>
      <c r="B910" s="31"/>
      <c r="D910" s="38"/>
      <c r="E910" s="38"/>
      <c r="F910" s="38"/>
      <c r="G910" s="38"/>
    </row>
    <row r="911" ht="14.25" customHeight="1">
      <c r="A911" s="36"/>
      <c r="B911" s="31"/>
      <c r="D911" s="38"/>
      <c r="E911" s="38"/>
      <c r="F911" s="38"/>
      <c r="G911" s="38"/>
    </row>
    <row r="912" ht="14.25" customHeight="1">
      <c r="A912" s="36"/>
      <c r="B912" s="31"/>
      <c r="D912" s="38"/>
      <c r="E912" s="38"/>
      <c r="F912" s="38"/>
      <c r="G912" s="38"/>
    </row>
    <row r="913" ht="14.25" customHeight="1">
      <c r="A913" s="36"/>
      <c r="B913" s="31"/>
      <c r="D913" s="38"/>
      <c r="E913" s="38"/>
      <c r="F913" s="38"/>
      <c r="G913" s="38"/>
    </row>
    <row r="914" ht="14.25" customHeight="1">
      <c r="A914" s="36"/>
      <c r="B914" s="31"/>
      <c r="D914" s="38"/>
      <c r="E914" s="38"/>
      <c r="F914" s="38"/>
      <c r="G914" s="38"/>
    </row>
    <row r="915" ht="14.25" customHeight="1">
      <c r="A915" s="36"/>
      <c r="B915" s="31"/>
      <c r="D915" s="38"/>
      <c r="E915" s="38"/>
      <c r="F915" s="38"/>
      <c r="G915" s="38"/>
    </row>
    <row r="916" ht="14.25" customHeight="1">
      <c r="A916" s="36"/>
      <c r="B916" s="31"/>
      <c r="D916" s="38"/>
      <c r="E916" s="38"/>
      <c r="F916" s="38"/>
      <c r="G916" s="38"/>
    </row>
    <row r="917" ht="14.25" customHeight="1">
      <c r="A917" s="36"/>
      <c r="B917" s="31"/>
      <c r="D917" s="38"/>
      <c r="E917" s="38"/>
      <c r="F917" s="38"/>
      <c r="G917" s="38"/>
    </row>
    <row r="918" ht="14.25" customHeight="1">
      <c r="A918" s="36"/>
      <c r="B918" s="31"/>
      <c r="D918" s="38"/>
      <c r="E918" s="38"/>
      <c r="F918" s="38"/>
      <c r="G918" s="38"/>
    </row>
    <row r="919" ht="14.25" customHeight="1">
      <c r="A919" s="36"/>
      <c r="B919" s="31"/>
      <c r="D919" s="38"/>
      <c r="E919" s="38"/>
      <c r="F919" s="38"/>
      <c r="G919" s="38"/>
    </row>
    <row r="920" ht="14.25" customHeight="1">
      <c r="A920" s="36"/>
      <c r="B920" s="31"/>
      <c r="D920" s="38"/>
      <c r="E920" s="38"/>
      <c r="F920" s="38"/>
      <c r="G920" s="38"/>
    </row>
    <row r="921" ht="14.25" customHeight="1">
      <c r="A921" s="36"/>
      <c r="B921" s="31"/>
      <c r="D921" s="38"/>
      <c r="E921" s="38"/>
      <c r="F921" s="38"/>
      <c r="G921" s="38"/>
    </row>
    <row r="922" ht="14.25" customHeight="1">
      <c r="A922" s="36"/>
      <c r="B922" s="31"/>
      <c r="D922" s="38"/>
      <c r="E922" s="38"/>
      <c r="F922" s="38"/>
      <c r="G922" s="38"/>
    </row>
    <row r="923" ht="14.25" customHeight="1">
      <c r="A923" s="36"/>
      <c r="B923" s="31"/>
      <c r="D923" s="38"/>
      <c r="E923" s="38"/>
      <c r="F923" s="38"/>
      <c r="G923" s="38"/>
    </row>
    <row r="924" ht="14.25" customHeight="1">
      <c r="A924" s="36"/>
      <c r="B924" s="31"/>
      <c r="D924" s="38"/>
      <c r="E924" s="38"/>
      <c r="F924" s="38"/>
      <c r="G924" s="38"/>
    </row>
    <row r="925" ht="14.25" customHeight="1">
      <c r="A925" s="36"/>
      <c r="B925" s="31"/>
      <c r="D925" s="38"/>
      <c r="E925" s="38"/>
      <c r="F925" s="38"/>
      <c r="G925" s="38"/>
    </row>
    <row r="926" ht="14.25" customHeight="1">
      <c r="A926" s="36"/>
      <c r="B926" s="31"/>
      <c r="D926" s="38"/>
      <c r="E926" s="38"/>
      <c r="F926" s="38"/>
      <c r="G926" s="38"/>
    </row>
    <row r="927" ht="14.25" customHeight="1">
      <c r="A927" s="36"/>
      <c r="B927" s="31"/>
      <c r="D927" s="38"/>
      <c r="E927" s="38"/>
      <c r="F927" s="38"/>
      <c r="G927" s="38"/>
    </row>
    <row r="928" ht="14.25" customHeight="1">
      <c r="A928" s="36"/>
      <c r="B928" s="31"/>
      <c r="D928" s="38"/>
      <c r="E928" s="38"/>
      <c r="F928" s="38"/>
      <c r="G928" s="38"/>
    </row>
    <row r="929" ht="14.25" customHeight="1">
      <c r="A929" s="36"/>
      <c r="B929" s="31"/>
      <c r="D929" s="38"/>
      <c r="E929" s="38"/>
      <c r="F929" s="38"/>
      <c r="G929" s="38"/>
    </row>
    <row r="930" ht="14.25" customHeight="1">
      <c r="A930" s="36"/>
      <c r="B930" s="31"/>
      <c r="D930" s="38"/>
      <c r="E930" s="38"/>
      <c r="F930" s="38"/>
      <c r="G930" s="38"/>
    </row>
    <row r="931" ht="14.25" customHeight="1">
      <c r="A931" s="36"/>
      <c r="B931" s="31"/>
      <c r="D931" s="38"/>
      <c r="E931" s="38"/>
      <c r="F931" s="38"/>
      <c r="G931" s="38"/>
    </row>
    <row r="932" ht="14.25" customHeight="1">
      <c r="A932" s="36"/>
      <c r="B932" s="31"/>
      <c r="D932" s="38"/>
      <c r="E932" s="38"/>
      <c r="F932" s="38"/>
      <c r="G932" s="38"/>
    </row>
    <row r="933" ht="14.25" customHeight="1">
      <c r="A933" s="36"/>
      <c r="B933" s="31"/>
      <c r="D933" s="38"/>
      <c r="E933" s="38"/>
      <c r="F933" s="38"/>
      <c r="G933" s="38"/>
    </row>
    <row r="934" ht="14.25" customHeight="1">
      <c r="A934" s="36"/>
      <c r="B934" s="31"/>
      <c r="D934" s="38"/>
      <c r="E934" s="38"/>
      <c r="F934" s="38"/>
      <c r="G934" s="38"/>
    </row>
    <row r="935" ht="14.25" customHeight="1">
      <c r="A935" s="36"/>
      <c r="B935" s="31"/>
      <c r="D935" s="38"/>
      <c r="E935" s="38"/>
      <c r="F935" s="38"/>
      <c r="G935" s="38"/>
    </row>
    <row r="936" ht="14.25" customHeight="1">
      <c r="A936" s="36"/>
      <c r="B936" s="31"/>
      <c r="D936" s="38"/>
      <c r="E936" s="38"/>
      <c r="F936" s="38"/>
      <c r="G936" s="38"/>
    </row>
    <row r="937" ht="14.25" customHeight="1">
      <c r="A937" s="36"/>
      <c r="B937" s="31"/>
      <c r="D937" s="38"/>
      <c r="E937" s="38"/>
      <c r="F937" s="38"/>
      <c r="G937" s="38"/>
    </row>
    <row r="938" ht="14.25" customHeight="1">
      <c r="A938" s="36"/>
      <c r="B938" s="31"/>
      <c r="D938" s="38"/>
      <c r="E938" s="38"/>
      <c r="F938" s="38"/>
      <c r="G938" s="38"/>
    </row>
    <row r="939" ht="14.25" customHeight="1">
      <c r="A939" s="36"/>
      <c r="B939" s="31"/>
      <c r="D939" s="38"/>
      <c r="E939" s="38"/>
      <c r="F939" s="38"/>
      <c r="G939" s="38"/>
    </row>
    <row r="940" ht="14.25" customHeight="1">
      <c r="A940" s="36"/>
      <c r="B940" s="31"/>
      <c r="D940" s="38"/>
      <c r="E940" s="38"/>
      <c r="F940" s="38"/>
      <c r="G940" s="38"/>
    </row>
    <row r="941" ht="14.25" customHeight="1">
      <c r="A941" s="36"/>
      <c r="B941" s="31"/>
      <c r="D941" s="38"/>
      <c r="E941" s="38"/>
      <c r="F941" s="38"/>
      <c r="G941" s="38"/>
    </row>
    <row r="942" ht="14.25" customHeight="1">
      <c r="A942" s="36"/>
      <c r="B942" s="31"/>
      <c r="D942" s="38"/>
      <c r="E942" s="38"/>
      <c r="F942" s="38"/>
      <c r="G942" s="38"/>
    </row>
    <row r="943" ht="14.25" customHeight="1">
      <c r="A943" s="36"/>
      <c r="B943" s="31"/>
      <c r="D943" s="38"/>
      <c r="E943" s="38"/>
      <c r="F943" s="38"/>
      <c r="G943" s="38"/>
    </row>
    <row r="944" ht="14.25" customHeight="1">
      <c r="A944" s="36"/>
      <c r="B944" s="31"/>
      <c r="D944" s="38"/>
      <c r="E944" s="38"/>
      <c r="F944" s="38"/>
      <c r="G944" s="38"/>
    </row>
    <row r="945" ht="14.25" customHeight="1">
      <c r="A945" s="36"/>
      <c r="B945" s="31"/>
      <c r="D945" s="38"/>
      <c r="E945" s="38"/>
      <c r="F945" s="38"/>
      <c r="G945" s="38"/>
    </row>
    <row r="946" ht="14.25" customHeight="1">
      <c r="A946" s="36"/>
      <c r="B946" s="31"/>
      <c r="D946" s="38"/>
      <c r="E946" s="38"/>
      <c r="F946" s="38"/>
      <c r="G946" s="38"/>
    </row>
    <row r="947" ht="14.25" customHeight="1">
      <c r="A947" s="36"/>
      <c r="B947" s="31"/>
      <c r="D947" s="38"/>
      <c r="E947" s="38"/>
      <c r="F947" s="38"/>
      <c r="G947" s="38"/>
    </row>
    <row r="948" ht="14.25" customHeight="1">
      <c r="A948" s="36"/>
      <c r="B948" s="31"/>
      <c r="D948" s="38"/>
      <c r="E948" s="38"/>
      <c r="F948" s="38"/>
      <c r="G948" s="38"/>
    </row>
    <row r="949" ht="14.25" customHeight="1">
      <c r="A949" s="36"/>
      <c r="B949" s="31"/>
      <c r="D949" s="38"/>
      <c r="E949" s="38"/>
      <c r="F949" s="38"/>
      <c r="G949" s="38"/>
    </row>
    <row r="950" ht="14.25" customHeight="1">
      <c r="A950" s="36"/>
      <c r="B950" s="31"/>
      <c r="D950" s="38"/>
      <c r="E950" s="38"/>
      <c r="F950" s="38"/>
      <c r="G950" s="38"/>
    </row>
    <row r="951" ht="14.25" customHeight="1">
      <c r="A951" s="36"/>
      <c r="B951" s="31"/>
      <c r="D951" s="38"/>
      <c r="E951" s="38"/>
      <c r="F951" s="38"/>
      <c r="G951" s="38"/>
    </row>
    <row r="952" ht="14.25" customHeight="1">
      <c r="A952" s="36"/>
      <c r="B952" s="31"/>
      <c r="D952" s="38"/>
      <c r="E952" s="38"/>
      <c r="F952" s="38"/>
      <c r="G952" s="38"/>
    </row>
    <row r="953" ht="14.25" customHeight="1">
      <c r="A953" s="36"/>
      <c r="B953" s="31"/>
      <c r="D953" s="38"/>
      <c r="E953" s="38"/>
      <c r="F953" s="38"/>
      <c r="G953" s="38"/>
    </row>
    <row r="954" ht="14.25" customHeight="1">
      <c r="A954" s="36"/>
      <c r="B954" s="31"/>
      <c r="D954" s="38"/>
      <c r="E954" s="38"/>
      <c r="F954" s="38"/>
      <c r="G954" s="38"/>
    </row>
    <row r="955" ht="14.25" customHeight="1">
      <c r="A955" s="36"/>
      <c r="B955" s="31"/>
      <c r="D955" s="38"/>
      <c r="E955" s="38"/>
      <c r="F955" s="38"/>
      <c r="G955" s="38"/>
    </row>
    <row r="956" ht="14.25" customHeight="1">
      <c r="A956" s="36"/>
      <c r="B956" s="31"/>
      <c r="D956" s="38"/>
      <c r="E956" s="38"/>
      <c r="F956" s="38"/>
      <c r="G956" s="38"/>
    </row>
    <row r="957" ht="14.25" customHeight="1">
      <c r="A957" s="36"/>
      <c r="B957" s="31"/>
      <c r="D957" s="38"/>
      <c r="E957" s="38"/>
      <c r="F957" s="38"/>
      <c r="G957" s="38"/>
    </row>
    <row r="958" ht="14.25" customHeight="1">
      <c r="A958" s="36"/>
      <c r="B958" s="31"/>
      <c r="D958" s="38"/>
      <c r="E958" s="38"/>
      <c r="F958" s="38"/>
      <c r="G958" s="38"/>
    </row>
    <row r="959" ht="14.25" customHeight="1">
      <c r="A959" s="36"/>
      <c r="B959" s="31"/>
      <c r="D959" s="38"/>
      <c r="E959" s="38"/>
      <c r="F959" s="38"/>
      <c r="G959" s="38"/>
    </row>
    <row r="960" ht="14.25" customHeight="1">
      <c r="A960" s="36"/>
      <c r="B960" s="31"/>
      <c r="D960" s="38"/>
      <c r="E960" s="38"/>
      <c r="F960" s="38"/>
      <c r="G960" s="38"/>
    </row>
    <row r="961" ht="14.25" customHeight="1">
      <c r="A961" s="36"/>
      <c r="B961" s="31"/>
      <c r="D961" s="38"/>
      <c r="E961" s="38"/>
      <c r="F961" s="38"/>
      <c r="G961" s="38"/>
    </row>
    <row r="962" ht="14.25" customHeight="1">
      <c r="A962" s="36"/>
      <c r="B962" s="31"/>
      <c r="D962" s="38"/>
      <c r="E962" s="38"/>
      <c r="F962" s="38"/>
      <c r="G962" s="38"/>
    </row>
    <row r="963" ht="14.25" customHeight="1">
      <c r="A963" s="36"/>
      <c r="B963" s="31"/>
      <c r="D963" s="38"/>
      <c r="E963" s="38"/>
      <c r="F963" s="38"/>
      <c r="G963" s="38"/>
    </row>
    <row r="964" ht="14.25" customHeight="1">
      <c r="A964" s="36"/>
      <c r="B964" s="31"/>
      <c r="D964" s="38"/>
      <c r="E964" s="38"/>
      <c r="F964" s="38"/>
      <c r="G964" s="38"/>
    </row>
    <row r="965" ht="14.25" customHeight="1">
      <c r="A965" s="36"/>
      <c r="B965" s="31"/>
      <c r="D965" s="38"/>
      <c r="E965" s="38"/>
      <c r="F965" s="38"/>
      <c r="G965" s="38"/>
    </row>
    <row r="966" ht="14.25" customHeight="1">
      <c r="A966" s="36"/>
      <c r="B966" s="31"/>
      <c r="D966" s="38"/>
      <c r="E966" s="38"/>
      <c r="F966" s="38"/>
      <c r="G966" s="38"/>
    </row>
    <row r="967" ht="14.25" customHeight="1">
      <c r="A967" s="36"/>
      <c r="B967" s="31"/>
      <c r="D967" s="38"/>
      <c r="E967" s="38"/>
      <c r="F967" s="38"/>
      <c r="G967" s="38"/>
    </row>
    <row r="968" ht="14.25" customHeight="1">
      <c r="A968" s="36"/>
      <c r="B968" s="31"/>
      <c r="D968" s="38"/>
      <c r="E968" s="38"/>
      <c r="F968" s="38"/>
      <c r="G968" s="38"/>
    </row>
    <row r="969" ht="14.25" customHeight="1">
      <c r="A969" s="36"/>
      <c r="B969" s="31"/>
      <c r="D969" s="38"/>
      <c r="E969" s="38"/>
      <c r="F969" s="38"/>
      <c r="G969" s="38"/>
    </row>
    <row r="970" ht="14.25" customHeight="1">
      <c r="A970" s="36"/>
      <c r="B970" s="31"/>
      <c r="D970" s="38"/>
      <c r="E970" s="38"/>
      <c r="F970" s="38"/>
      <c r="G970" s="38"/>
    </row>
    <row r="971" ht="14.25" customHeight="1">
      <c r="A971" s="36"/>
      <c r="B971" s="31"/>
      <c r="D971" s="38"/>
      <c r="E971" s="38"/>
      <c r="F971" s="38"/>
      <c r="G971" s="38"/>
    </row>
    <row r="972" ht="14.25" customHeight="1">
      <c r="A972" s="36"/>
      <c r="B972" s="31"/>
      <c r="D972" s="38"/>
      <c r="E972" s="38"/>
      <c r="F972" s="38"/>
      <c r="G972" s="38"/>
    </row>
    <row r="973" ht="14.25" customHeight="1">
      <c r="A973" s="36"/>
      <c r="B973" s="31"/>
      <c r="D973" s="38"/>
      <c r="E973" s="38"/>
      <c r="F973" s="38"/>
      <c r="G973" s="38"/>
    </row>
    <row r="974" ht="14.25" customHeight="1">
      <c r="A974" s="36"/>
      <c r="B974" s="31"/>
      <c r="D974" s="38"/>
      <c r="E974" s="38"/>
      <c r="F974" s="38"/>
      <c r="G974" s="38"/>
    </row>
    <row r="975" ht="14.25" customHeight="1">
      <c r="A975" s="36"/>
      <c r="B975" s="31"/>
      <c r="D975" s="38"/>
      <c r="E975" s="38"/>
      <c r="F975" s="38"/>
      <c r="G975" s="38"/>
    </row>
    <row r="976" ht="14.25" customHeight="1">
      <c r="A976" s="36"/>
      <c r="B976" s="31"/>
      <c r="D976" s="38"/>
      <c r="E976" s="38"/>
      <c r="F976" s="38"/>
      <c r="G976" s="38"/>
    </row>
    <row r="977" ht="14.25" customHeight="1">
      <c r="A977" s="36"/>
      <c r="B977" s="31"/>
      <c r="D977" s="38"/>
      <c r="E977" s="38"/>
      <c r="F977" s="38"/>
      <c r="G977" s="38"/>
    </row>
    <row r="978" ht="14.25" customHeight="1">
      <c r="A978" s="36"/>
      <c r="B978" s="31"/>
      <c r="D978" s="38"/>
      <c r="E978" s="38"/>
      <c r="F978" s="38"/>
      <c r="G978" s="38"/>
    </row>
    <row r="979" ht="14.25" customHeight="1">
      <c r="A979" s="36"/>
      <c r="B979" s="31"/>
      <c r="D979" s="38"/>
      <c r="E979" s="38"/>
      <c r="F979" s="38"/>
      <c r="G979" s="38"/>
    </row>
    <row r="980" ht="14.25" customHeight="1">
      <c r="A980" s="36"/>
      <c r="B980" s="31"/>
      <c r="D980" s="38"/>
      <c r="E980" s="38"/>
      <c r="F980" s="38"/>
      <c r="G980" s="38"/>
    </row>
    <row r="981" ht="14.25" customHeight="1">
      <c r="A981" s="36"/>
      <c r="B981" s="31"/>
      <c r="D981" s="38"/>
      <c r="E981" s="38"/>
      <c r="F981" s="38"/>
      <c r="G981" s="38"/>
    </row>
    <row r="982" ht="14.25" customHeight="1">
      <c r="A982" s="36"/>
      <c r="B982" s="31"/>
      <c r="D982" s="38"/>
      <c r="E982" s="38"/>
      <c r="F982" s="38"/>
      <c r="G982" s="38"/>
    </row>
    <row r="983" ht="14.25" customHeight="1">
      <c r="A983" s="36"/>
      <c r="B983" s="31"/>
      <c r="D983" s="38"/>
      <c r="E983" s="38"/>
      <c r="F983" s="38"/>
      <c r="G983" s="38"/>
    </row>
    <row r="984" ht="14.25" customHeight="1">
      <c r="A984" s="36"/>
      <c r="B984" s="31"/>
      <c r="D984" s="38"/>
      <c r="E984" s="38"/>
      <c r="F984" s="38"/>
      <c r="G984" s="38"/>
    </row>
    <row r="985" ht="14.25" customHeight="1">
      <c r="A985" s="36"/>
      <c r="B985" s="31"/>
      <c r="D985" s="38"/>
      <c r="E985" s="38"/>
      <c r="F985" s="38"/>
      <c r="G985" s="38"/>
    </row>
    <row r="986" ht="14.25" customHeight="1">
      <c r="A986" s="36"/>
      <c r="B986" s="31"/>
      <c r="D986" s="38"/>
      <c r="E986" s="38"/>
      <c r="F986" s="38"/>
      <c r="G986" s="38"/>
    </row>
    <row r="987" ht="14.25" customHeight="1">
      <c r="A987" s="36"/>
      <c r="B987" s="31"/>
      <c r="D987" s="38"/>
      <c r="E987" s="38"/>
      <c r="F987" s="38"/>
      <c r="G987" s="38"/>
    </row>
    <row r="988" ht="14.25" customHeight="1">
      <c r="A988" s="36"/>
      <c r="B988" s="31"/>
      <c r="D988" s="38"/>
      <c r="E988" s="38"/>
      <c r="F988" s="38"/>
      <c r="G988" s="38"/>
    </row>
    <row r="989" ht="14.25" customHeight="1">
      <c r="A989" s="36"/>
      <c r="B989" s="31"/>
      <c r="D989" s="38"/>
      <c r="E989" s="38"/>
      <c r="F989" s="38"/>
      <c r="G989" s="38"/>
    </row>
    <row r="990" ht="14.25" customHeight="1">
      <c r="A990" s="36"/>
      <c r="B990" s="31"/>
      <c r="D990" s="38"/>
      <c r="E990" s="38"/>
      <c r="F990" s="38"/>
      <c r="G990" s="38"/>
    </row>
    <row r="991" ht="14.25" customHeight="1">
      <c r="A991" s="36"/>
      <c r="B991" s="31"/>
      <c r="D991" s="38"/>
      <c r="E991" s="38"/>
      <c r="F991" s="38"/>
      <c r="G991" s="38"/>
    </row>
    <row r="992" ht="14.25" customHeight="1">
      <c r="A992" s="36"/>
      <c r="B992" s="31"/>
      <c r="D992" s="38"/>
      <c r="E992" s="38"/>
      <c r="F992" s="38"/>
      <c r="G992" s="38"/>
    </row>
    <row r="993" ht="14.25" customHeight="1">
      <c r="A993" s="36"/>
      <c r="B993" s="31"/>
      <c r="D993" s="38"/>
      <c r="E993" s="38"/>
      <c r="F993" s="38"/>
      <c r="G993" s="38"/>
    </row>
    <row r="994" ht="14.25" customHeight="1">
      <c r="A994" s="36"/>
      <c r="B994" s="31"/>
      <c r="D994" s="38"/>
      <c r="E994" s="38"/>
      <c r="F994" s="38"/>
      <c r="G994" s="38"/>
    </row>
    <row r="995" ht="14.25" customHeight="1">
      <c r="A995" s="36"/>
      <c r="B995" s="31"/>
      <c r="D995" s="38"/>
      <c r="E995" s="38"/>
      <c r="F995" s="38"/>
      <c r="G995" s="38"/>
    </row>
    <row r="996" ht="14.25" customHeight="1">
      <c r="A996" s="36"/>
      <c r="B996" s="31"/>
      <c r="D996" s="38"/>
      <c r="E996" s="38"/>
      <c r="F996" s="38"/>
      <c r="G996" s="38"/>
    </row>
    <row r="997" ht="14.25" customHeight="1">
      <c r="A997" s="36"/>
      <c r="B997" s="31"/>
      <c r="D997" s="38"/>
      <c r="E997" s="38"/>
      <c r="F997" s="38"/>
      <c r="G997" s="38"/>
    </row>
    <row r="998" ht="14.25" customHeight="1">
      <c r="A998" s="36"/>
      <c r="B998" s="31"/>
      <c r="D998" s="38"/>
      <c r="E998" s="38"/>
      <c r="F998" s="38"/>
      <c r="G998" s="38"/>
    </row>
    <row r="999" ht="14.25" customHeight="1">
      <c r="A999" s="36"/>
      <c r="B999" s="31"/>
      <c r="D999" s="38"/>
      <c r="E999" s="38"/>
      <c r="F999" s="38"/>
      <c r="G999" s="38"/>
    </row>
    <row r="1000" ht="14.25" customHeight="1">
      <c r="A1000" s="36"/>
      <c r="B1000" s="31"/>
      <c r="D1000" s="38"/>
      <c r="E1000" s="38"/>
      <c r="F1000" s="38"/>
      <c r="G1000" s="38"/>
    </row>
  </sheetData>
  <mergeCells count="16">
    <mergeCell ref="A1:E1"/>
    <mergeCell ref="D4:F4"/>
    <mergeCell ref="A5:A6"/>
    <mergeCell ref="B5:B6"/>
    <mergeCell ref="C5:C6"/>
    <mergeCell ref="D5:D6"/>
    <mergeCell ref="E5:E6"/>
    <mergeCell ref="M5:M6"/>
    <mergeCell ref="N5:N6"/>
    <mergeCell ref="F5:F6"/>
    <mergeCell ref="G5:G6"/>
    <mergeCell ref="H5:H6"/>
    <mergeCell ref="I5:I6"/>
    <mergeCell ref="J5:J6"/>
    <mergeCell ref="K5:K6"/>
    <mergeCell ref="L5:L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5"/>
    <col customWidth="1" min="2" max="2" width="44.25"/>
    <col customWidth="1" min="3" max="3" width="11.38"/>
    <col customWidth="1" min="4" max="11" width="10.63"/>
    <col customWidth="1" min="12" max="12" width="14.75"/>
    <col customWidth="1" min="13" max="13" width="10.63"/>
    <col customWidth="1" min="14" max="14" width="16.88"/>
    <col customWidth="1" min="15" max="15" width="51.88"/>
    <col customWidth="1" min="16" max="16" width="10.63"/>
    <col customWidth="1" min="17" max="17" width="12.5"/>
    <col customWidth="1" min="18" max="18" width="19.5"/>
    <col customWidth="1" min="19" max="26" width="10.63"/>
  </cols>
  <sheetData>
    <row r="1" ht="14.25" customHeight="1">
      <c r="A1" s="7" t="s">
        <v>44</v>
      </c>
      <c r="B1" s="39"/>
      <c r="C1" s="39"/>
      <c r="D1" s="4"/>
      <c r="E1" s="4"/>
      <c r="F1" s="4"/>
      <c r="G1" s="4"/>
      <c r="H1" s="4"/>
      <c r="I1" s="4"/>
      <c r="J1" s="40" t="s">
        <v>45</v>
      </c>
      <c r="K1" s="41">
        <f>SUM(K5:K24)</f>
        <v>35</v>
      </c>
      <c r="L1" s="5"/>
      <c r="M1" s="42"/>
      <c r="N1" s="43" t="s">
        <v>46</v>
      </c>
      <c r="O1" s="44"/>
      <c r="P1" s="44"/>
      <c r="Q1" s="44"/>
      <c r="R1" s="44"/>
      <c r="S1" s="45"/>
    </row>
    <row r="2" ht="14.25" customHeight="1">
      <c r="A2" s="4"/>
      <c r="B2" s="46"/>
      <c r="C2" s="46"/>
      <c r="D2" s="4"/>
      <c r="E2" s="4"/>
      <c r="F2" s="4"/>
      <c r="G2" s="4"/>
      <c r="H2" s="4"/>
      <c r="I2" s="4"/>
      <c r="J2" s="4"/>
      <c r="K2" s="47"/>
      <c r="L2" s="5"/>
      <c r="M2" s="42"/>
      <c r="N2" s="44"/>
      <c r="O2" s="44"/>
      <c r="P2" s="48" t="s">
        <v>47</v>
      </c>
      <c r="Q2" s="48" t="s">
        <v>48</v>
      </c>
      <c r="R2" s="44"/>
      <c r="S2" s="45"/>
    </row>
    <row r="3" ht="18.0" customHeight="1">
      <c r="A3" s="13" t="s">
        <v>49</v>
      </c>
      <c r="B3" s="13" t="s">
        <v>50</v>
      </c>
      <c r="C3" s="49" t="s">
        <v>51</v>
      </c>
      <c r="D3" s="50" t="s">
        <v>52</v>
      </c>
      <c r="E3" s="51" t="s">
        <v>52</v>
      </c>
      <c r="F3" s="13" t="s">
        <v>53</v>
      </c>
      <c r="G3" s="13" t="s">
        <v>54</v>
      </c>
      <c r="H3" s="52" t="s">
        <v>55</v>
      </c>
      <c r="I3" s="16" t="s">
        <v>56</v>
      </c>
      <c r="J3" s="13" t="s">
        <v>57</v>
      </c>
      <c r="K3" s="12" t="s">
        <v>58</v>
      </c>
      <c r="L3" s="17"/>
      <c r="M3" s="53" t="s">
        <v>59</v>
      </c>
      <c r="N3" s="54" t="s">
        <v>60</v>
      </c>
      <c r="O3" s="53" t="s">
        <v>50</v>
      </c>
      <c r="P3" s="55" t="s">
        <v>53</v>
      </c>
      <c r="Q3" s="55" t="s">
        <v>61</v>
      </c>
      <c r="R3" s="56" t="s">
        <v>62</v>
      </c>
      <c r="S3" s="56" t="s">
        <v>62</v>
      </c>
      <c r="T3" s="55" t="s">
        <v>63</v>
      </c>
      <c r="U3" s="55" t="s">
        <v>64</v>
      </c>
      <c r="V3" s="55"/>
    </row>
    <row r="4" ht="14.25" customHeight="1">
      <c r="A4" s="18"/>
      <c r="B4" s="18"/>
      <c r="C4" s="18"/>
      <c r="D4" s="50" t="s">
        <v>65</v>
      </c>
      <c r="E4" s="51" t="s">
        <v>66</v>
      </c>
      <c r="F4" s="18"/>
      <c r="G4" s="18"/>
      <c r="H4" s="57"/>
      <c r="I4" s="19"/>
      <c r="J4" s="18"/>
      <c r="K4" s="18"/>
      <c r="L4" s="18"/>
      <c r="M4" s="18"/>
      <c r="N4" s="54" t="s">
        <v>67</v>
      </c>
      <c r="O4" s="18"/>
      <c r="P4" s="18"/>
      <c r="Q4" s="18"/>
      <c r="R4" s="58" t="s">
        <v>3</v>
      </c>
      <c r="S4" s="58" t="s">
        <v>68</v>
      </c>
      <c r="T4" s="18"/>
      <c r="U4" s="18"/>
      <c r="V4" s="18"/>
    </row>
    <row r="5" ht="15.0" customHeight="1">
      <c r="A5" s="59" t="s">
        <v>69</v>
      </c>
      <c r="B5" s="60" t="s">
        <v>70</v>
      </c>
      <c r="C5" s="59" t="s">
        <v>71</v>
      </c>
      <c r="D5" s="59">
        <v>13.0</v>
      </c>
      <c r="E5" s="59">
        <v>59.0</v>
      </c>
      <c r="F5" s="59">
        <f t="shared" ref="F5:F21" si="1">SUMIF(O:O,O5,P:P)</f>
        <v>0</v>
      </c>
      <c r="G5" s="59">
        <f t="shared" ref="G5:G21" si="2">SUMIFS($S:$S,$N:$N,#REF!,$O:$O,B5)</f>
        <v>0</v>
      </c>
      <c r="H5" s="59" t="str">
        <f t="shared" ref="H5:H21" si="3">IF(I5&lt;D5,"Alerte","Ok")</f>
        <v>Ok</v>
      </c>
      <c r="I5" s="61">
        <f t="shared" ref="I5:I21" si="4">E5+F5-G5</f>
        <v>59</v>
      </c>
      <c r="J5" s="62"/>
      <c r="K5" s="63">
        <f t="shared" ref="K5:K21" si="5">I5*J5</f>
        <v>0</v>
      </c>
      <c r="L5" s="5"/>
      <c r="M5" s="60"/>
      <c r="N5" s="60" t="s">
        <v>69</v>
      </c>
      <c r="O5" s="60" t="s">
        <v>70</v>
      </c>
      <c r="P5" s="59"/>
      <c r="Q5" s="59"/>
      <c r="R5" s="59"/>
      <c r="S5" s="59"/>
      <c r="T5" s="64"/>
      <c r="U5" s="64">
        <v>0.5</v>
      </c>
    </row>
    <row r="6" ht="14.25" customHeight="1">
      <c r="A6" s="20" t="s">
        <v>69</v>
      </c>
      <c r="B6" s="65" t="s">
        <v>72</v>
      </c>
      <c r="C6" s="20" t="s">
        <v>71</v>
      </c>
      <c r="D6" s="20" t="s">
        <v>73</v>
      </c>
      <c r="E6" s="20">
        <v>32.0</v>
      </c>
      <c r="F6" s="20">
        <f t="shared" si="1"/>
        <v>0</v>
      </c>
      <c r="G6" s="20">
        <f t="shared" si="2"/>
        <v>0</v>
      </c>
      <c r="H6" s="20" t="str">
        <f t="shared" si="3"/>
        <v>Alerte</v>
      </c>
      <c r="I6" s="27">
        <f t="shared" si="4"/>
        <v>32</v>
      </c>
      <c r="J6" s="22"/>
      <c r="K6" s="28">
        <f t="shared" si="5"/>
        <v>0</v>
      </c>
      <c r="L6" s="5"/>
      <c r="M6" s="65"/>
      <c r="N6" s="65" t="s">
        <v>69</v>
      </c>
      <c r="O6" s="65" t="s">
        <v>72</v>
      </c>
      <c r="P6" s="20"/>
      <c r="Q6" s="20"/>
      <c r="R6" s="20"/>
      <c r="S6" s="20"/>
      <c r="T6" s="64"/>
      <c r="U6" s="64">
        <v>0.5</v>
      </c>
    </row>
    <row r="7" ht="14.25" customHeight="1">
      <c r="A7" s="59" t="s">
        <v>69</v>
      </c>
      <c r="B7" s="60" t="s">
        <v>74</v>
      </c>
      <c r="C7" s="59" t="s">
        <v>71</v>
      </c>
      <c r="D7" s="59">
        <v>20.0</v>
      </c>
      <c r="E7" s="59">
        <v>44.0</v>
      </c>
      <c r="F7" s="59">
        <f t="shared" si="1"/>
        <v>0</v>
      </c>
      <c r="G7" s="59">
        <f t="shared" si="2"/>
        <v>0</v>
      </c>
      <c r="H7" s="59" t="str">
        <f t="shared" si="3"/>
        <v>Ok</v>
      </c>
      <c r="I7" s="61">
        <f t="shared" si="4"/>
        <v>44</v>
      </c>
      <c r="J7" s="62"/>
      <c r="K7" s="63">
        <f t="shared" si="5"/>
        <v>0</v>
      </c>
      <c r="L7" s="66"/>
      <c r="M7" s="60"/>
      <c r="N7" s="60" t="s">
        <v>69</v>
      </c>
      <c r="O7" s="60" t="s">
        <v>74</v>
      </c>
      <c r="P7" s="59"/>
      <c r="Q7" s="59"/>
      <c r="R7" s="59"/>
      <c r="S7" s="59"/>
      <c r="T7" s="64"/>
      <c r="U7" s="64">
        <v>0.5</v>
      </c>
    </row>
    <row r="8" ht="14.25" customHeight="1">
      <c r="A8" s="20" t="s">
        <v>69</v>
      </c>
      <c r="B8" s="65" t="s">
        <v>75</v>
      </c>
      <c r="C8" s="20" t="s">
        <v>71</v>
      </c>
      <c r="D8" s="20">
        <v>12.0</v>
      </c>
      <c r="E8" s="20">
        <v>26.0</v>
      </c>
      <c r="F8" s="20">
        <f t="shared" si="1"/>
        <v>0</v>
      </c>
      <c r="G8" s="20">
        <f t="shared" si="2"/>
        <v>0</v>
      </c>
      <c r="H8" s="20" t="str">
        <f t="shared" si="3"/>
        <v>Ok</v>
      </c>
      <c r="I8" s="27">
        <f t="shared" si="4"/>
        <v>26</v>
      </c>
      <c r="J8" s="22"/>
      <c r="K8" s="28">
        <f t="shared" si="5"/>
        <v>0</v>
      </c>
      <c r="L8" s="66"/>
      <c r="M8" s="65"/>
      <c r="N8" s="65" t="s">
        <v>69</v>
      </c>
      <c r="O8" s="65" t="s">
        <v>75</v>
      </c>
      <c r="P8" s="20"/>
      <c r="Q8" s="20"/>
      <c r="R8" s="20"/>
      <c r="S8" s="20"/>
      <c r="T8" s="64"/>
      <c r="U8" s="64">
        <v>1.0</v>
      </c>
    </row>
    <row r="9" ht="14.25" customHeight="1">
      <c r="A9" s="59" t="s">
        <v>69</v>
      </c>
      <c r="B9" s="60" t="s">
        <v>76</v>
      </c>
      <c r="C9" s="59" t="s">
        <v>71</v>
      </c>
      <c r="D9" s="59">
        <v>12.0</v>
      </c>
      <c r="E9" s="59">
        <v>14.0</v>
      </c>
      <c r="F9" s="59">
        <f t="shared" si="1"/>
        <v>0</v>
      </c>
      <c r="G9" s="59">
        <f t="shared" si="2"/>
        <v>0</v>
      </c>
      <c r="H9" s="59" t="str">
        <f t="shared" si="3"/>
        <v>Ok</v>
      </c>
      <c r="I9" s="61">
        <f t="shared" si="4"/>
        <v>14</v>
      </c>
      <c r="J9" s="62"/>
      <c r="K9" s="63">
        <f t="shared" si="5"/>
        <v>0</v>
      </c>
      <c r="L9" s="66"/>
      <c r="M9" s="60"/>
      <c r="N9" s="60" t="s">
        <v>69</v>
      </c>
      <c r="O9" s="60" t="s">
        <v>76</v>
      </c>
      <c r="P9" s="59"/>
      <c r="Q9" s="59"/>
      <c r="R9" s="59"/>
      <c r="S9" s="59"/>
      <c r="T9" s="64"/>
      <c r="U9" s="64">
        <v>1.0</v>
      </c>
    </row>
    <row r="10" ht="14.25" customHeight="1">
      <c r="A10" s="20" t="s">
        <v>77</v>
      </c>
      <c r="B10" s="65" t="s">
        <v>78</v>
      </c>
      <c r="C10" s="20" t="s">
        <v>71</v>
      </c>
      <c r="D10" s="20">
        <v>6.0</v>
      </c>
      <c r="E10" s="20">
        <v>0.0</v>
      </c>
      <c r="F10" s="20">
        <f t="shared" si="1"/>
        <v>0</v>
      </c>
      <c r="G10" s="20">
        <f t="shared" si="2"/>
        <v>0</v>
      </c>
      <c r="H10" s="20" t="str">
        <f t="shared" si="3"/>
        <v>Alerte</v>
      </c>
      <c r="I10" s="27">
        <f t="shared" si="4"/>
        <v>0</v>
      </c>
      <c r="J10" s="22"/>
      <c r="K10" s="28">
        <f t="shared" si="5"/>
        <v>0</v>
      </c>
      <c r="L10" s="66"/>
      <c r="M10" s="65"/>
      <c r="N10" s="65" t="s">
        <v>77</v>
      </c>
      <c r="O10" s="65" t="s">
        <v>78</v>
      </c>
      <c r="P10" s="20"/>
      <c r="Q10" s="20"/>
      <c r="R10" s="20"/>
      <c r="S10" s="20"/>
      <c r="T10" s="64"/>
      <c r="U10" s="64">
        <v>1.0</v>
      </c>
    </row>
    <row r="11" ht="14.25" customHeight="1">
      <c r="A11" s="59" t="s">
        <v>69</v>
      </c>
      <c r="B11" s="60" t="s">
        <v>79</v>
      </c>
      <c r="C11" s="59" t="s">
        <v>71</v>
      </c>
      <c r="D11" s="59">
        <v>15.0</v>
      </c>
      <c r="E11" s="59">
        <v>74.0</v>
      </c>
      <c r="F11" s="59">
        <f t="shared" si="1"/>
        <v>0</v>
      </c>
      <c r="G11" s="59">
        <f t="shared" si="2"/>
        <v>0</v>
      </c>
      <c r="H11" s="59" t="str">
        <f t="shared" si="3"/>
        <v>Ok</v>
      </c>
      <c r="I11" s="61">
        <f t="shared" si="4"/>
        <v>74</v>
      </c>
      <c r="J11" s="62"/>
      <c r="K11" s="63">
        <f t="shared" si="5"/>
        <v>0</v>
      </c>
      <c r="L11" s="66"/>
      <c r="M11" s="60"/>
      <c r="N11" s="60" t="s">
        <v>69</v>
      </c>
      <c r="O11" s="60" t="s">
        <v>79</v>
      </c>
      <c r="P11" s="59"/>
      <c r="Q11" s="59"/>
      <c r="R11" s="67"/>
      <c r="S11" s="59"/>
      <c r="T11" s="64"/>
      <c r="U11" s="64">
        <v>0.5</v>
      </c>
    </row>
    <row r="12" ht="14.25" customHeight="1">
      <c r="A12" s="20" t="s">
        <v>69</v>
      </c>
      <c r="B12" s="65" t="s">
        <v>80</v>
      </c>
      <c r="C12" s="20" t="s">
        <v>71</v>
      </c>
      <c r="D12" s="20">
        <v>3.0</v>
      </c>
      <c r="E12" s="20">
        <v>7.0</v>
      </c>
      <c r="F12" s="20">
        <f t="shared" si="1"/>
        <v>0</v>
      </c>
      <c r="G12" s="20">
        <f t="shared" si="2"/>
        <v>0</v>
      </c>
      <c r="H12" s="20" t="str">
        <f t="shared" si="3"/>
        <v>Ok</v>
      </c>
      <c r="I12" s="27">
        <f t="shared" si="4"/>
        <v>7</v>
      </c>
      <c r="J12" s="22">
        <v>5.0</v>
      </c>
      <c r="K12" s="28">
        <f t="shared" si="5"/>
        <v>35</v>
      </c>
      <c r="L12" s="66"/>
      <c r="M12" s="65"/>
      <c r="N12" s="65" t="s">
        <v>69</v>
      </c>
      <c r="O12" s="65" t="s">
        <v>80</v>
      </c>
      <c r="P12" s="20"/>
      <c r="Q12" s="20"/>
      <c r="R12" s="20"/>
      <c r="S12" s="20"/>
      <c r="T12" s="64"/>
      <c r="U12" s="64">
        <v>10.0</v>
      </c>
    </row>
    <row r="13" ht="14.25" customHeight="1">
      <c r="A13" s="59" t="s">
        <v>81</v>
      </c>
      <c r="B13" s="60" t="s">
        <v>82</v>
      </c>
      <c r="C13" s="59" t="s">
        <v>71</v>
      </c>
      <c r="D13" s="59">
        <v>17.0</v>
      </c>
      <c r="E13" s="59">
        <v>1.0</v>
      </c>
      <c r="F13" s="59">
        <f t="shared" si="1"/>
        <v>0</v>
      </c>
      <c r="G13" s="59">
        <f t="shared" si="2"/>
        <v>0</v>
      </c>
      <c r="H13" s="59" t="str">
        <f t="shared" si="3"/>
        <v>Alerte</v>
      </c>
      <c r="I13" s="61">
        <f t="shared" si="4"/>
        <v>1</v>
      </c>
      <c r="J13" s="62"/>
      <c r="K13" s="63">
        <f t="shared" si="5"/>
        <v>0</v>
      </c>
      <c r="L13" s="5"/>
      <c r="M13" s="60"/>
      <c r="N13" s="60" t="s">
        <v>81</v>
      </c>
      <c r="O13" s="60" t="s">
        <v>82</v>
      </c>
      <c r="P13" s="59"/>
      <c r="Q13" s="59"/>
      <c r="R13" s="59"/>
      <c r="S13" s="59"/>
      <c r="T13" s="64"/>
      <c r="U13" s="64">
        <v>1.5</v>
      </c>
    </row>
    <row r="14" ht="14.25" customHeight="1">
      <c r="A14" s="20" t="s">
        <v>81</v>
      </c>
      <c r="B14" s="65" t="s">
        <v>83</v>
      </c>
      <c r="C14" s="20" t="s">
        <v>71</v>
      </c>
      <c r="D14" s="20">
        <v>17.0</v>
      </c>
      <c r="E14" s="20">
        <v>0.0</v>
      </c>
      <c r="F14" s="20">
        <f t="shared" si="1"/>
        <v>0</v>
      </c>
      <c r="G14" s="20">
        <f t="shared" si="2"/>
        <v>0</v>
      </c>
      <c r="H14" s="20" t="str">
        <f t="shared" si="3"/>
        <v>Alerte</v>
      </c>
      <c r="I14" s="27">
        <f t="shared" si="4"/>
        <v>0</v>
      </c>
      <c r="J14" s="22"/>
      <c r="K14" s="28">
        <f t="shared" si="5"/>
        <v>0</v>
      </c>
      <c r="L14" s="5"/>
      <c r="M14" s="65"/>
      <c r="N14" s="65" t="s">
        <v>81</v>
      </c>
      <c r="O14" s="65" t="s">
        <v>83</v>
      </c>
      <c r="P14" s="20"/>
      <c r="Q14" s="20"/>
      <c r="R14" s="20"/>
      <c r="S14" s="20"/>
      <c r="T14" s="64"/>
      <c r="U14" s="64">
        <v>1.5</v>
      </c>
    </row>
    <row r="15" ht="14.25" customHeight="1">
      <c r="A15" s="59" t="s">
        <v>81</v>
      </c>
      <c r="B15" s="60" t="s">
        <v>84</v>
      </c>
      <c r="C15" s="59" t="s">
        <v>71</v>
      </c>
      <c r="D15" s="59">
        <v>10.0</v>
      </c>
      <c r="E15" s="59">
        <v>3.0</v>
      </c>
      <c r="F15" s="59">
        <f t="shared" si="1"/>
        <v>24</v>
      </c>
      <c r="G15" s="59">
        <f t="shared" si="2"/>
        <v>0</v>
      </c>
      <c r="H15" s="59" t="str">
        <f t="shared" si="3"/>
        <v>Ok</v>
      </c>
      <c r="I15" s="61">
        <f t="shared" si="4"/>
        <v>27</v>
      </c>
      <c r="J15" s="62"/>
      <c r="K15" s="63">
        <f t="shared" si="5"/>
        <v>0</v>
      </c>
      <c r="L15" s="5"/>
      <c r="M15" s="68">
        <v>46034.0</v>
      </c>
      <c r="N15" s="60" t="s">
        <v>81</v>
      </c>
      <c r="O15" s="60" t="s">
        <v>84</v>
      </c>
      <c r="P15" s="59">
        <v>24.0</v>
      </c>
      <c r="Q15" s="59"/>
      <c r="R15" s="59"/>
      <c r="S15" s="59"/>
      <c r="T15" s="64"/>
      <c r="U15" s="64">
        <v>1.0</v>
      </c>
    </row>
    <row r="16" ht="14.25" customHeight="1">
      <c r="A16" s="20" t="s">
        <v>81</v>
      </c>
      <c r="B16" s="65" t="s">
        <v>85</v>
      </c>
      <c r="C16" s="20" t="s">
        <v>71</v>
      </c>
      <c r="D16" s="20">
        <v>10.0</v>
      </c>
      <c r="E16" s="20">
        <v>5.0</v>
      </c>
      <c r="F16" s="20">
        <f t="shared" si="1"/>
        <v>24</v>
      </c>
      <c r="G16" s="20">
        <f t="shared" si="2"/>
        <v>0</v>
      </c>
      <c r="H16" s="20" t="str">
        <f t="shared" si="3"/>
        <v>Ok</v>
      </c>
      <c r="I16" s="27">
        <f t="shared" si="4"/>
        <v>29</v>
      </c>
      <c r="J16" s="22"/>
      <c r="K16" s="28">
        <f t="shared" si="5"/>
        <v>0</v>
      </c>
      <c r="M16" s="69">
        <v>46034.0</v>
      </c>
      <c r="N16" s="65" t="s">
        <v>81</v>
      </c>
      <c r="O16" s="65" t="s">
        <v>85</v>
      </c>
      <c r="P16" s="20">
        <v>24.0</v>
      </c>
      <c r="Q16" s="20"/>
      <c r="R16" s="20"/>
      <c r="S16" s="20"/>
      <c r="T16" s="64"/>
      <c r="U16" s="64">
        <v>1.0</v>
      </c>
    </row>
    <row r="17" ht="14.25" customHeight="1">
      <c r="A17" s="59" t="s">
        <v>81</v>
      </c>
      <c r="B17" s="60" t="s">
        <v>86</v>
      </c>
      <c r="C17" s="59" t="s">
        <v>71</v>
      </c>
      <c r="D17" s="59">
        <v>17.0</v>
      </c>
      <c r="E17" s="59">
        <v>29.0</v>
      </c>
      <c r="F17" s="59">
        <f t="shared" si="1"/>
        <v>0</v>
      </c>
      <c r="G17" s="59">
        <f t="shared" si="2"/>
        <v>0</v>
      </c>
      <c r="H17" s="59" t="str">
        <f t="shared" si="3"/>
        <v>Ok</v>
      </c>
      <c r="I17" s="61">
        <f t="shared" si="4"/>
        <v>29</v>
      </c>
      <c r="J17" s="62"/>
      <c r="K17" s="63">
        <f t="shared" si="5"/>
        <v>0</v>
      </c>
      <c r="M17" s="60"/>
      <c r="N17" s="60" t="s">
        <v>81</v>
      </c>
      <c r="O17" s="60" t="s">
        <v>86</v>
      </c>
      <c r="P17" s="59"/>
      <c r="Q17" s="59"/>
      <c r="R17" s="59"/>
      <c r="S17" s="59"/>
      <c r="T17" s="64"/>
      <c r="U17" s="64">
        <v>1.5</v>
      </c>
    </row>
    <row r="18" ht="14.25" customHeight="1">
      <c r="A18" s="20" t="s">
        <v>81</v>
      </c>
      <c r="B18" s="65" t="s">
        <v>87</v>
      </c>
      <c r="C18" s="20" t="s">
        <v>71</v>
      </c>
      <c r="D18" s="20">
        <v>17.0</v>
      </c>
      <c r="E18" s="20">
        <v>19.0</v>
      </c>
      <c r="F18" s="20">
        <f t="shared" si="1"/>
        <v>0</v>
      </c>
      <c r="G18" s="20">
        <f t="shared" si="2"/>
        <v>0</v>
      </c>
      <c r="H18" s="20" t="str">
        <f t="shared" si="3"/>
        <v>Ok</v>
      </c>
      <c r="I18" s="27">
        <f t="shared" si="4"/>
        <v>19</v>
      </c>
      <c r="J18" s="22"/>
      <c r="K18" s="28">
        <f t="shared" si="5"/>
        <v>0</v>
      </c>
      <c r="M18" s="65"/>
      <c r="N18" s="65" t="s">
        <v>81</v>
      </c>
      <c r="O18" s="65" t="s">
        <v>87</v>
      </c>
      <c r="P18" s="20"/>
      <c r="Q18" s="20"/>
      <c r="R18" s="20"/>
      <c r="S18" s="20"/>
      <c r="T18" s="64"/>
      <c r="U18" s="64">
        <v>1.5</v>
      </c>
    </row>
    <row r="19" ht="14.25" customHeight="1">
      <c r="A19" s="59" t="s">
        <v>81</v>
      </c>
      <c r="B19" s="60" t="s">
        <v>88</v>
      </c>
      <c r="C19" s="59" t="s">
        <v>71</v>
      </c>
      <c r="D19" s="59">
        <v>6.0</v>
      </c>
      <c r="E19" s="59">
        <v>4.0</v>
      </c>
      <c r="F19" s="59">
        <f t="shared" si="1"/>
        <v>0</v>
      </c>
      <c r="G19" s="59">
        <f t="shared" si="2"/>
        <v>0</v>
      </c>
      <c r="H19" s="59" t="str">
        <f t="shared" si="3"/>
        <v>Alerte</v>
      </c>
      <c r="I19" s="61">
        <f t="shared" si="4"/>
        <v>4</v>
      </c>
      <c r="J19" s="62"/>
      <c r="K19" s="63">
        <f t="shared" si="5"/>
        <v>0</v>
      </c>
      <c r="M19" s="60"/>
      <c r="N19" s="60" t="s">
        <v>81</v>
      </c>
      <c r="O19" s="60" t="s">
        <v>88</v>
      </c>
      <c r="P19" s="59"/>
      <c r="Q19" s="59"/>
      <c r="R19" s="59"/>
      <c r="S19" s="59"/>
      <c r="T19" s="64"/>
      <c r="U19" s="64">
        <v>2.0</v>
      </c>
    </row>
    <row r="20" ht="14.25" customHeight="1">
      <c r="A20" s="20" t="s">
        <v>81</v>
      </c>
      <c r="B20" s="65" t="s">
        <v>89</v>
      </c>
      <c r="C20" s="20" t="s">
        <v>71</v>
      </c>
      <c r="D20" s="20">
        <v>6.0</v>
      </c>
      <c r="E20" s="20">
        <v>0.0</v>
      </c>
      <c r="F20" s="20">
        <f t="shared" si="1"/>
        <v>0</v>
      </c>
      <c r="G20" s="20">
        <f t="shared" si="2"/>
        <v>0</v>
      </c>
      <c r="H20" s="20" t="str">
        <f t="shared" si="3"/>
        <v>Alerte</v>
      </c>
      <c r="I20" s="27">
        <f t="shared" si="4"/>
        <v>0</v>
      </c>
      <c r="J20" s="22"/>
      <c r="K20" s="28">
        <f t="shared" si="5"/>
        <v>0</v>
      </c>
      <c r="M20" s="65"/>
      <c r="N20" s="65" t="s">
        <v>81</v>
      </c>
      <c r="O20" s="65" t="s">
        <v>89</v>
      </c>
      <c r="P20" s="20"/>
      <c r="Q20" s="20"/>
      <c r="R20" s="20"/>
      <c r="S20" s="20"/>
      <c r="T20" s="64"/>
      <c r="U20" s="64">
        <v>2.0</v>
      </c>
    </row>
    <row r="21" ht="14.25" customHeight="1">
      <c r="A21" s="59" t="s">
        <v>81</v>
      </c>
      <c r="B21" s="60" t="s">
        <v>90</v>
      </c>
      <c r="C21" s="59" t="s">
        <v>71</v>
      </c>
      <c r="D21" s="59">
        <v>6.0</v>
      </c>
      <c r="E21" s="59">
        <v>0.0</v>
      </c>
      <c r="F21" s="59">
        <f t="shared" si="1"/>
        <v>0</v>
      </c>
      <c r="G21" s="59">
        <f t="shared" si="2"/>
        <v>0</v>
      </c>
      <c r="H21" s="59" t="str">
        <f t="shared" si="3"/>
        <v>Alerte</v>
      </c>
      <c r="I21" s="61">
        <f t="shared" si="4"/>
        <v>0</v>
      </c>
      <c r="J21" s="62"/>
      <c r="K21" s="63">
        <f t="shared" si="5"/>
        <v>0</v>
      </c>
      <c r="M21" s="60"/>
      <c r="N21" s="60" t="s">
        <v>81</v>
      </c>
      <c r="O21" s="60" t="s">
        <v>90</v>
      </c>
      <c r="P21" s="59"/>
      <c r="Q21" s="59"/>
      <c r="R21" s="59"/>
      <c r="S21" s="59"/>
      <c r="T21" s="64"/>
      <c r="U21" s="64">
        <v>2.0</v>
      </c>
    </row>
    <row r="22" ht="14.25" customHeight="1">
      <c r="A22" s="20"/>
      <c r="B22" s="65"/>
      <c r="C22" s="20"/>
      <c r="D22" s="20"/>
      <c r="E22" s="20"/>
      <c r="F22" s="20"/>
      <c r="G22" s="20"/>
      <c r="H22" s="20"/>
      <c r="I22" s="27"/>
      <c r="J22" s="22"/>
      <c r="K22" s="28"/>
      <c r="M22" s="65"/>
      <c r="N22" s="65"/>
      <c r="O22" s="65"/>
      <c r="P22" s="20"/>
      <c r="Q22" s="20"/>
      <c r="R22" s="20"/>
      <c r="S22" s="20"/>
      <c r="T22" s="64"/>
      <c r="U22" s="64"/>
    </row>
    <row r="23" ht="14.25" customHeight="1">
      <c r="A23" s="59"/>
      <c r="B23" s="60"/>
      <c r="C23" s="59"/>
      <c r="D23" s="59"/>
      <c r="E23" s="59"/>
      <c r="F23" s="59"/>
      <c r="G23" s="59"/>
      <c r="H23" s="59"/>
      <c r="I23" s="61"/>
      <c r="J23" s="62"/>
      <c r="K23" s="63"/>
      <c r="M23" s="60"/>
      <c r="N23" s="60"/>
      <c r="O23" s="60"/>
      <c r="P23" s="59"/>
      <c r="Q23" s="59"/>
      <c r="R23" s="59"/>
      <c r="S23" s="59"/>
      <c r="T23" s="64"/>
      <c r="U23" s="64"/>
    </row>
    <row r="24" ht="14.25" customHeight="1">
      <c r="A24" s="20"/>
      <c r="B24" s="65"/>
      <c r="C24" s="20"/>
      <c r="D24" s="20"/>
      <c r="E24" s="20"/>
      <c r="F24" s="20"/>
      <c r="G24" s="20"/>
      <c r="H24" s="20"/>
      <c r="I24" s="27"/>
      <c r="J24" s="22"/>
      <c r="K24" s="28"/>
      <c r="M24" s="65"/>
      <c r="N24" s="65"/>
      <c r="O24" s="65"/>
      <c r="P24" s="20"/>
      <c r="Q24" s="20"/>
      <c r="R24" s="20"/>
      <c r="S24" s="20"/>
      <c r="T24" s="64"/>
      <c r="U24" s="64"/>
    </row>
    <row r="25" ht="14.25" customHeight="1">
      <c r="A25" s="59"/>
      <c r="B25" s="60"/>
      <c r="C25" s="60"/>
      <c r="D25" s="59"/>
      <c r="E25" s="59"/>
      <c r="F25" s="59"/>
      <c r="G25" s="59"/>
      <c r="H25" s="59"/>
      <c r="I25" s="61"/>
      <c r="J25" s="62"/>
      <c r="K25" s="63"/>
      <c r="M25" s="60"/>
      <c r="N25" s="60"/>
      <c r="O25" s="60"/>
      <c r="P25" s="59"/>
      <c r="Q25" s="59"/>
      <c r="R25" s="59"/>
      <c r="S25" s="59"/>
    </row>
    <row r="26" ht="14.25" customHeight="1">
      <c r="A26" s="20" t="s">
        <v>69</v>
      </c>
      <c r="B26" s="65" t="s">
        <v>91</v>
      </c>
      <c r="C26" s="65"/>
      <c r="D26" s="20">
        <v>12.0</v>
      </c>
      <c r="E26" s="20">
        <v>106.0</v>
      </c>
      <c r="F26" s="20"/>
      <c r="G26" s="20"/>
      <c r="H26" s="20"/>
      <c r="I26" s="27"/>
      <c r="J26" s="22"/>
      <c r="K26" s="28"/>
      <c r="M26" s="65"/>
      <c r="N26" s="65"/>
      <c r="O26" s="65"/>
      <c r="P26" s="20"/>
      <c r="Q26" s="20"/>
      <c r="R26" s="20"/>
      <c r="S26" s="20"/>
    </row>
    <row r="27" ht="14.25" customHeight="1">
      <c r="A27" s="59" t="s">
        <v>69</v>
      </c>
      <c r="B27" s="60" t="s">
        <v>92</v>
      </c>
      <c r="C27" s="59" t="s">
        <v>93</v>
      </c>
      <c r="D27" s="59"/>
      <c r="E27" s="59">
        <v>8.0</v>
      </c>
      <c r="F27" s="59"/>
      <c r="G27" s="59"/>
      <c r="H27" s="59"/>
      <c r="I27" s="61"/>
      <c r="J27" s="62"/>
      <c r="K27" s="63"/>
      <c r="M27" s="60"/>
      <c r="N27" s="60"/>
      <c r="O27" s="60"/>
      <c r="P27" s="59"/>
      <c r="Q27" s="59"/>
      <c r="R27" s="59"/>
      <c r="S27" s="59"/>
    </row>
    <row r="28" ht="14.25" customHeight="1">
      <c r="A28" s="20" t="s">
        <v>69</v>
      </c>
      <c r="B28" s="65" t="s">
        <v>94</v>
      </c>
      <c r="C28" s="20" t="s">
        <v>93</v>
      </c>
      <c r="D28" s="20"/>
      <c r="E28" s="20">
        <v>12.0</v>
      </c>
      <c r="F28" s="20"/>
      <c r="G28" s="20"/>
      <c r="H28" s="20"/>
      <c r="I28" s="27"/>
      <c r="J28" s="22"/>
      <c r="K28" s="28"/>
      <c r="M28" s="65"/>
      <c r="N28" s="65"/>
      <c r="O28" s="65"/>
      <c r="P28" s="20"/>
      <c r="Q28" s="20"/>
      <c r="R28" s="20"/>
      <c r="S28" s="20"/>
    </row>
    <row r="29" ht="14.25" customHeight="1">
      <c r="A29" s="59" t="s">
        <v>69</v>
      </c>
      <c r="B29" s="60" t="s">
        <v>95</v>
      </c>
      <c r="C29" s="59" t="s">
        <v>93</v>
      </c>
      <c r="D29" s="59"/>
      <c r="E29" s="59">
        <v>7.0</v>
      </c>
      <c r="F29" s="59"/>
      <c r="G29" s="59"/>
      <c r="H29" s="59"/>
      <c r="I29" s="61"/>
      <c r="J29" s="62"/>
      <c r="K29" s="63"/>
      <c r="M29" s="60"/>
      <c r="N29" s="60"/>
      <c r="O29" s="60"/>
      <c r="P29" s="59"/>
      <c r="Q29" s="59"/>
      <c r="R29" s="59"/>
      <c r="S29" s="59"/>
    </row>
    <row r="30" ht="14.25" customHeight="1">
      <c r="A30" s="20" t="s">
        <v>81</v>
      </c>
      <c r="B30" s="65" t="s">
        <v>96</v>
      </c>
      <c r="C30" s="20" t="s">
        <v>93</v>
      </c>
      <c r="D30" s="20"/>
      <c r="E30" s="20">
        <v>19.0</v>
      </c>
      <c r="F30" s="20"/>
      <c r="G30" s="20"/>
      <c r="H30" s="20"/>
      <c r="I30" s="27"/>
      <c r="J30" s="22"/>
      <c r="K30" s="28"/>
      <c r="M30" s="65"/>
      <c r="N30" s="65"/>
      <c r="O30" s="65"/>
      <c r="P30" s="20"/>
      <c r="Q30" s="20"/>
      <c r="R30" s="20"/>
      <c r="S30" s="20"/>
    </row>
    <row r="31" ht="14.25" customHeight="1">
      <c r="A31" s="59" t="s">
        <v>81</v>
      </c>
      <c r="B31" s="60" t="s">
        <v>97</v>
      </c>
      <c r="C31" s="59" t="s">
        <v>93</v>
      </c>
      <c r="D31" s="59"/>
      <c r="E31" s="59">
        <v>6.0</v>
      </c>
      <c r="F31" s="59"/>
      <c r="G31" s="59"/>
      <c r="H31" s="59"/>
      <c r="I31" s="61"/>
      <c r="J31" s="62"/>
      <c r="K31" s="63"/>
      <c r="M31" s="60"/>
      <c r="N31" s="60"/>
      <c r="O31" s="60"/>
      <c r="P31" s="59"/>
      <c r="Q31" s="59"/>
      <c r="R31" s="59"/>
      <c r="S31" s="59"/>
    </row>
    <row r="32" ht="14.25" customHeight="1">
      <c r="A32" s="20"/>
      <c r="B32" s="65"/>
      <c r="C32" s="65"/>
      <c r="D32" s="20"/>
      <c r="E32" s="20"/>
      <c r="F32" s="20"/>
      <c r="G32" s="20"/>
      <c r="H32" s="20"/>
      <c r="I32" s="27"/>
      <c r="J32" s="22"/>
      <c r="K32" s="28"/>
      <c r="M32" s="65"/>
      <c r="N32" s="65"/>
      <c r="O32" s="65"/>
      <c r="P32" s="20"/>
      <c r="Q32" s="20"/>
      <c r="R32" s="20"/>
      <c r="S32" s="20"/>
    </row>
    <row r="33" ht="14.25" customHeight="1">
      <c r="A33" s="59"/>
      <c r="B33" s="60"/>
      <c r="C33" s="60"/>
      <c r="D33" s="59"/>
      <c r="E33" s="59"/>
      <c r="F33" s="59"/>
      <c r="G33" s="59"/>
      <c r="H33" s="59"/>
      <c r="I33" s="61"/>
      <c r="J33" s="62"/>
      <c r="K33" s="63"/>
      <c r="M33" s="60"/>
      <c r="N33" s="60"/>
      <c r="O33" s="60"/>
      <c r="P33" s="59"/>
      <c r="Q33" s="59"/>
      <c r="R33" s="59"/>
      <c r="S33" s="59"/>
    </row>
    <row r="34" ht="14.25" customHeight="1">
      <c r="A34" s="20"/>
      <c r="B34" s="65"/>
      <c r="C34" s="65"/>
      <c r="D34" s="20"/>
      <c r="E34" s="20"/>
      <c r="F34" s="20"/>
      <c r="G34" s="20"/>
      <c r="H34" s="20"/>
      <c r="I34" s="27"/>
      <c r="J34" s="22"/>
      <c r="K34" s="28"/>
      <c r="M34" s="65"/>
      <c r="N34" s="65"/>
      <c r="O34" s="65"/>
      <c r="P34" s="20"/>
      <c r="Q34" s="20"/>
      <c r="R34" s="20"/>
      <c r="S34" s="20"/>
    </row>
    <row r="35" ht="14.25" customHeight="1">
      <c r="A35" s="59"/>
      <c r="B35" s="60"/>
      <c r="C35" s="60"/>
      <c r="D35" s="59"/>
      <c r="E35" s="59"/>
      <c r="F35" s="59"/>
      <c r="G35" s="59"/>
      <c r="H35" s="59"/>
      <c r="I35" s="61"/>
      <c r="J35" s="62"/>
      <c r="K35" s="63"/>
      <c r="M35" s="60"/>
      <c r="N35" s="60"/>
      <c r="O35" s="60"/>
      <c r="P35" s="59"/>
      <c r="Q35" s="59"/>
      <c r="R35" s="59"/>
      <c r="S35" s="59"/>
    </row>
    <row r="36" ht="14.25" customHeight="1">
      <c r="A36" s="20"/>
      <c r="B36" s="65"/>
      <c r="C36" s="65"/>
      <c r="D36" s="20"/>
      <c r="E36" s="20"/>
      <c r="F36" s="20"/>
      <c r="G36" s="20"/>
      <c r="H36" s="20"/>
      <c r="I36" s="27"/>
      <c r="J36" s="22"/>
      <c r="K36" s="28"/>
      <c r="M36" s="65"/>
      <c r="N36" s="65"/>
      <c r="O36" s="65"/>
      <c r="P36" s="20"/>
      <c r="Q36" s="20"/>
      <c r="R36" s="20"/>
      <c r="S36" s="20"/>
    </row>
    <row r="37" ht="14.25" customHeight="1">
      <c r="A37" s="59"/>
      <c r="B37" s="60"/>
      <c r="C37" s="60"/>
      <c r="D37" s="59"/>
      <c r="E37" s="59"/>
      <c r="F37" s="59"/>
      <c r="G37" s="59"/>
      <c r="H37" s="59"/>
      <c r="I37" s="61"/>
      <c r="J37" s="62"/>
      <c r="K37" s="63"/>
      <c r="M37" s="60"/>
      <c r="N37" s="60"/>
      <c r="O37" s="60"/>
      <c r="P37" s="59"/>
      <c r="Q37" s="59"/>
      <c r="R37" s="59"/>
      <c r="S37" s="59"/>
    </row>
    <row r="38" ht="14.25" customHeight="1">
      <c r="A38" s="20"/>
      <c r="B38" s="65"/>
      <c r="C38" s="65"/>
      <c r="D38" s="20"/>
      <c r="E38" s="20"/>
      <c r="F38" s="20"/>
      <c r="G38" s="20"/>
      <c r="H38" s="20"/>
      <c r="I38" s="27"/>
      <c r="J38" s="22"/>
      <c r="K38" s="28"/>
      <c r="M38" s="65"/>
      <c r="N38" s="65"/>
      <c r="O38" s="65"/>
      <c r="P38" s="20"/>
      <c r="Q38" s="20"/>
      <c r="R38" s="20"/>
      <c r="S38" s="20"/>
    </row>
    <row r="39" ht="14.25" customHeight="1">
      <c r="A39" s="59"/>
      <c r="B39" s="60"/>
      <c r="C39" s="60"/>
      <c r="D39" s="59"/>
      <c r="E39" s="59"/>
      <c r="F39" s="59"/>
      <c r="G39" s="59"/>
      <c r="H39" s="59"/>
      <c r="I39" s="61"/>
      <c r="J39" s="62"/>
      <c r="K39" s="63"/>
      <c r="M39" s="60"/>
      <c r="N39" s="60"/>
      <c r="O39" s="60"/>
      <c r="P39" s="59"/>
      <c r="Q39" s="59"/>
      <c r="R39" s="59"/>
      <c r="S39" s="59"/>
    </row>
    <row r="40" ht="14.25" customHeight="1">
      <c r="A40" s="20"/>
      <c r="B40" s="65"/>
      <c r="C40" s="65"/>
      <c r="D40" s="20"/>
      <c r="E40" s="20"/>
      <c r="F40" s="20"/>
      <c r="G40" s="20"/>
      <c r="H40" s="20"/>
      <c r="I40" s="27"/>
      <c r="J40" s="22"/>
      <c r="K40" s="28"/>
      <c r="M40" s="65"/>
      <c r="N40" s="65"/>
      <c r="O40" s="65"/>
      <c r="P40" s="20"/>
      <c r="Q40" s="20"/>
      <c r="R40" s="20"/>
      <c r="S40" s="20"/>
    </row>
    <row r="41" ht="14.25" customHeight="1">
      <c r="A41" s="59"/>
      <c r="B41" s="60"/>
      <c r="C41" s="60"/>
      <c r="D41" s="59"/>
      <c r="E41" s="59"/>
      <c r="F41" s="59"/>
      <c r="G41" s="59"/>
      <c r="H41" s="59"/>
      <c r="I41" s="61"/>
      <c r="J41" s="62"/>
      <c r="K41" s="63"/>
      <c r="M41" s="60"/>
      <c r="N41" s="60"/>
      <c r="O41" s="60"/>
      <c r="P41" s="59"/>
      <c r="Q41" s="59"/>
      <c r="R41" s="59"/>
      <c r="S41" s="59"/>
    </row>
    <row r="42" ht="14.25" customHeight="1">
      <c r="A42" s="20"/>
      <c r="B42" s="65"/>
      <c r="C42" s="65"/>
      <c r="D42" s="20"/>
      <c r="E42" s="20"/>
      <c r="F42" s="20"/>
      <c r="G42" s="20"/>
      <c r="H42" s="20"/>
      <c r="I42" s="27"/>
      <c r="J42" s="22"/>
      <c r="K42" s="28"/>
      <c r="N42" s="70"/>
    </row>
    <row r="43" ht="14.25" customHeight="1">
      <c r="A43" s="59"/>
      <c r="B43" s="60"/>
      <c r="C43" s="60"/>
      <c r="D43" s="59"/>
      <c r="E43" s="59"/>
      <c r="F43" s="59"/>
      <c r="G43" s="59"/>
      <c r="H43" s="59"/>
      <c r="I43" s="61"/>
      <c r="J43" s="62"/>
      <c r="K43" s="63"/>
      <c r="N43" s="70"/>
    </row>
    <row r="44" ht="14.25" customHeight="1">
      <c r="A44" s="20"/>
      <c r="B44" s="65"/>
      <c r="C44" s="65"/>
      <c r="D44" s="20"/>
      <c r="E44" s="20"/>
      <c r="F44" s="20"/>
      <c r="G44" s="20"/>
      <c r="H44" s="20"/>
      <c r="I44" s="27"/>
      <c r="J44" s="22"/>
      <c r="K44" s="28"/>
      <c r="N44" s="70"/>
    </row>
    <row r="45" ht="14.25" customHeight="1">
      <c r="A45" s="59"/>
      <c r="B45" s="60"/>
      <c r="C45" s="60"/>
      <c r="D45" s="59"/>
      <c r="E45" s="59"/>
      <c r="F45" s="59"/>
      <c r="G45" s="59"/>
      <c r="H45" s="59"/>
      <c r="I45" s="61"/>
      <c r="J45" s="62"/>
      <c r="K45" s="63"/>
      <c r="N45" s="70"/>
    </row>
    <row r="46" ht="14.25" customHeight="1">
      <c r="A46" s="20"/>
      <c r="B46" s="65"/>
      <c r="C46" s="65"/>
      <c r="D46" s="20"/>
      <c r="E46" s="20"/>
      <c r="F46" s="20"/>
      <c r="G46" s="20"/>
      <c r="H46" s="20"/>
      <c r="I46" s="27"/>
      <c r="J46" s="22"/>
      <c r="K46" s="28"/>
      <c r="N46" s="70"/>
    </row>
    <row r="47" ht="14.25" customHeight="1">
      <c r="A47" s="59"/>
      <c r="B47" s="60"/>
      <c r="C47" s="60"/>
      <c r="D47" s="59"/>
      <c r="E47" s="59"/>
      <c r="F47" s="59"/>
      <c r="G47" s="59"/>
      <c r="H47" s="59"/>
      <c r="I47" s="61"/>
      <c r="J47" s="62"/>
      <c r="K47" s="63"/>
      <c r="N47" s="70"/>
    </row>
    <row r="48" ht="14.25" customHeight="1">
      <c r="A48" s="70"/>
      <c r="N48" s="70"/>
    </row>
    <row r="49" ht="14.25" customHeight="1">
      <c r="A49" s="70"/>
      <c r="N49" s="70"/>
    </row>
    <row r="50" ht="14.25" customHeight="1">
      <c r="A50" s="70"/>
      <c r="N50" s="70"/>
    </row>
    <row r="51" ht="14.25" customHeight="1">
      <c r="A51" s="70"/>
      <c r="N51" s="70"/>
    </row>
    <row r="52" ht="14.25" customHeight="1">
      <c r="A52" s="70"/>
      <c r="N52" s="70"/>
    </row>
    <row r="53" ht="14.25" customHeight="1">
      <c r="A53" s="70"/>
      <c r="N53" s="70"/>
    </row>
    <row r="54" ht="14.25" customHeight="1">
      <c r="A54" s="70"/>
      <c r="N54" s="70"/>
    </row>
    <row r="55" ht="14.25" customHeight="1">
      <c r="A55" s="70"/>
      <c r="N55" s="70"/>
    </row>
    <row r="56" ht="14.25" customHeight="1">
      <c r="A56" s="70"/>
      <c r="N56" s="70"/>
    </row>
    <row r="57" ht="14.25" customHeight="1">
      <c r="A57" s="70"/>
      <c r="N57" s="70"/>
    </row>
    <row r="58" ht="14.25" customHeight="1">
      <c r="A58" s="70"/>
      <c r="N58" s="70"/>
    </row>
    <row r="59" ht="14.25" customHeight="1">
      <c r="A59" s="70"/>
      <c r="N59" s="70"/>
    </row>
    <row r="60" ht="14.25" customHeight="1">
      <c r="A60" s="70"/>
      <c r="N60" s="70"/>
    </row>
    <row r="61" ht="14.25" customHeight="1">
      <c r="A61" s="70"/>
      <c r="N61" s="70"/>
    </row>
    <row r="62" ht="14.25" customHeight="1">
      <c r="A62" s="70"/>
      <c r="N62" s="70"/>
    </row>
    <row r="63" ht="14.25" customHeight="1">
      <c r="A63" s="70"/>
      <c r="N63" s="70"/>
    </row>
    <row r="64" ht="14.25" customHeight="1">
      <c r="A64" s="70"/>
      <c r="N64" s="70"/>
    </row>
    <row r="65" ht="14.25" customHeight="1">
      <c r="A65" s="70"/>
      <c r="N65" s="70"/>
    </row>
    <row r="66" ht="14.25" customHeight="1">
      <c r="A66" s="70"/>
      <c r="N66" s="70"/>
    </row>
    <row r="67" ht="14.25" customHeight="1">
      <c r="A67" s="70"/>
      <c r="N67" s="70"/>
    </row>
    <row r="68" ht="14.25" customHeight="1">
      <c r="A68" s="70"/>
      <c r="N68" s="70"/>
    </row>
    <row r="69" ht="14.25" customHeight="1">
      <c r="A69" s="70"/>
      <c r="N69" s="70"/>
    </row>
    <row r="70" ht="14.25" customHeight="1">
      <c r="A70" s="70"/>
      <c r="N70" s="70"/>
    </row>
    <row r="71" ht="14.25" customHeight="1">
      <c r="A71" s="70"/>
      <c r="N71" s="70"/>
    </row>
    <row r="72" ht="14.25" customHeight="1">
      <c r="A72" s="70"/>
      <c r="N72" s="70"/>
    </row>
    <row r="73" ht="14.25" customHeight="1">
      <c r="A73" s="70"/>
      <c r="N73" s="70"/>
    </row>
    <row r="74" ht="14.25" customHeight="1">
      <c r="A74" s="70"/>
      <c r="N74" s="70"/>
    </row>
    <row r="75" ht="14.25" customHeight="1">
      <c r="A75" s="70"/>
      <c r="N75" s="70"/>
    </row>
    <row r="76" ht="14.25" customHeight="1">
      <c r="A76" s="70"/>
      <c r="N76" s="70"/>
    </row>
    <row r="77" ht="14.25" customHeight="1">
      <c r="A77" s="70"/>
      <c r="N77" s="70"/>
    </row>
    <row r="78" ht="14.25" customHeight="1">
      <c r="A78" s="70"/>
      <c r="N78" s="70"/>
    </row>
    <row r="79" ht="14.25" customHeight="1">
      <c r="A79" s="70"/>
      <c r="N79" s="70"/>
    </row>
    <row r="80" ht="14.25" customHeight="1">
      <c r="A80" s="70"/>
      <c r="N80" s="70"/>
    </row>
    <row r="81" ht="14.25" customHeight="1">
      <c r="A81" s="70"/>
      <c r="N81" s="70"/>
    </row>
    <row r="82" ht="14.25" customHeight="1">
      <c r="A82" s="70"/>
      <c r="N82" s="70"/>
    </row>
    <row r="83" ht="14.25" customHeight="1">
      <c r="A83" s="70"/>
      <c r="N83" s="70"/>
    </row>
    <row r="84" ht="14.25" customHeight="1">
      <c r="A84" s="70"/>
      <c r="N84" s="70"/>
    </row>
    <row r="85" ht="14.25" customHeight="1">
      <c r="A85" s="70"/>
      <c r="N85" s="70"/>
    </row>
    <row r="86" ht="14.25" customHeight="1">
      <c r="A86" s="70"/>
      <c r="N86" s="70"/>
    </row>
    <row r="87" ht="14.25" customHeight="1">
      <c r="A87" s="70"/>
      <c r="N87" s="70"/>
    </row>
    <row r="88" ht="14.25" customHeight="1">
      <c r="A88" s="70"/>
      <c r="N88" s="70"/>
    </row>
    <row r="89" ht="14.25" customHeight="1">
      <c r="A89" s="70"/>
      <c r="N89" s="70"/>
    </row>
    <row r="90" ht="14.25" customHeight="1">
      <c r="A90" s="70"/>
      <c r="N90" s="70"/>
    </row>
    <row r="91" ht="14.25" customHeight="1">
      <c r="A91" s="70"/>
      <c r="N91" s="70"/>
    </row>
    <row r="92" ht="14.25" customHeight="1">
      <c r="A92" s="70"/>
      <c r="N92" s="70"/>
    </row>
    <row r="93" ht="14.25" customHeight="1">
      <c r="A93" s="70"/>
      <c r="N93" s="70"/>
    </row>
    <row r="94" ht="14.25" customHeight="1">
      <c r="A94" s="70"/>
      <c r="N94" s="70"/>
    </row>
    <row r="95" ht="14.25" customHeight="1">
      <c r="A95" s="70"/>
      <c r="N95" s="70"/>
    </row>
    <row r="96" ht="14.25" customHeight="1">
      <c r="A96" s="70"/>
      <c r="N96" s="70"/>
    </row>
    <row r="97" ht="14.25" customHeight="1">
      <c r="A97" s="70"/>
      <c r="N97" s="70"/>
    </row>
    <row r="98" ht="14.25" customHeight="1">
      <c r="A98" s="70"/>
      <c r="N98" s="70"/>
    </row>
    <row r="99" ht="14.25" customHeight="1">
      <c r="A99" s="70"/>
      <c r="N99" s="70"/>
    </row>
    <row r="100" ht="14.25" customHeight="1">
      <c r="A100" s="70"/>
      <c r="N100" s="70"/>
    </row>
    <row r="101" ht="14.25" customHeight="1">
      <c r="A101" s="70"/>
      <c r="N101" s="70"/>
    </row>
    <row r="102" ht="14.25" customHeight="1">
      <c r="A102" s="70"/>
      <c r="N102" s="70"/>
    </row>
    <row r="103" ht="14.25" customHeight="1">
      <c r="A103" s="70"/>
      <c r="N103" s="70"/>
    </row>
    <row r="104" ht="14.25" customHeight="1">
      <c r="A104" s="70"/>
      <c r="N104" s="70"/>
    </row>
    <row r="105" ht="14.25" customHeight="1">
      <c r="A105" s="70"/>
      <c r="N105" s="70"/>
    </row>
    <row r="106" ht="14.25" customHeight="1">
      <c r="A106" s="70"/>
      <c r="N106" s="70"/>
    </row>
    <row r="107" ht="14.25" customHeight="1">
      <c r="A107" s="70"/>
      <c r="N107" s="70"/>
    </row>
    <row r="108" ht="14.25" customHeight="1">
      <c r="A108" s="70"/>
      <c r="N108" s="70"/>
    </row>
    <row r="109" ht="14.25" customHeight="1">
      <c r="A109" s="70"/>
      <c r="N109" s="70"/>
    </row>
    <row r="110" ht="14.25" customHeight="1">
      <c r="A110" s="70"/>
      <c r="N110" s="70"/>
    </row>
    <row r="111" ht="14.25" customHeight="1">
      <c r="A111" s="70"/>
      <c r="N111" s="70"/>
    </row>
    <row r="112" ht="14.25" customHeight="1">
      <c r="A112" s="70"/>
      <c r="N112" s="70"/>
    </row>
    <row r="113" ht="14.25" customHeight="1">
      <c r="A113" s="70"/>
      <c r="N113" s="70"/>
    </row>
    <row r="114" ht="14.25" customHeight="1">
      <c r="A114" s="70"/>
      <c r="N114" s="70"/>
    </row>
    <row r="115" ht="14.25" customHeight="1">
      <c r="A115" s="70"/>
      <c r="N115" s="70"/>
    </row>
    <row r="116" ht="14.25" customHeight="1">
      <c r="A116" s="70"/>
      <c r="N116" s="70"/>
    </row>
    <row r="117" ht="14.25" customHeight="1">
      <c r="A117" s="70"/>
      <c r="N117" s="70"/>
    </row>
    <row r="118" ht="14.25" customHeight="1">
      <c r="A118" s="70"/>
      <c r="N118" s="70"/>
    </row>
    <row r="119" ht="14.25" customHeight="1">
      <c r="A119" s="70"/>
      <c r="N119" s="70"/>
    </row>
    <row r="120" ht="14.25" customHeight="1">
      <c r="A120" s="70"/>
      <c r="N120" s="70"/>
    </row>
    <row r="121" ht="14.25" customHeight="1">
      <c r="A121" s="70"/>
      <c r="N121" s="70"/>
    </row>
    <row r="122" ht="14.25" customHeight="1">
      <c r="A122" s="70"/>
      <c r="N122" s="70"/>
    </row>
    <row r="123" ht="14.25" customHeight="1">
      <c r="A123" s="70"/>
      <c r="N123" s="70"/>
    </row>
    <row r="124" ht="14.25" customHeight="1">
      <c r="A124" s="70"/>
      <c r="N124" s="70"/>
    </row>
    <row r="125" ht="14.25" customHeight="1">
      <c r="A125" s="70"/>
      <c r="N125" s="70"/>
    </row>
    <row r="126" ht="14.25" customHeight="1">
      <c r="A126" s="70"/>
      <c r="N126" s="70"/>
    </row>
    <row r="127" ht="14.25" customHeight="1">
      <c r="A127" s="70"/>
      <c r="N127" s="70"/>
    </row>
    <row r="128" ht="14.25" customHeight="1">
      <c r="A128" s="70"/>
      <c r="N128" s="70"/>
    </row>
    <row r="129" ht="14.25" customHeight="1">
      <c r="A129" s="70"/>
      <c r="N129" s="70"/>
    </row>
    <row r="130" ht="14.25" customHeight="1">
      <c r="A130" s="70"/>
      <c r="N130" s="70"/>
    </row>
    <row r="131" ht="14.25" customHeight="1">
      <c r="A131" s="70"/>
      <c r="N131" s="70"/>
    </row>
    <row r="132" ht="14.25" customHeight="1">
      <c r="A132" s="70"/>
      <c r="N132" s="70"/>
    </row>
    <row r="133" ht="14.25" customHeight="1">
      <c r="A133" s="70"/>
      <c r="N133" s="70"/>
    </row>
    <row r="134" ht="14.25" customHeight="1">
      <c r="A134" s="70"/>
      <c r="N134" s="70"/>
    </row>
    <row r="135" ht="14.25" customHeight="1">
      <c r="A135" s="70"/>
      <c r="N135" s="70"/>
    </row>
    <row r="136" ht="14.25" customHeight="1">
      <c r="A136" s="70"/>
      <c r="N136" s="70"/>
    </row>
    <row r="137" ht="14.25" customHeight="1">
      <c r="A137" s="70"/>
      <c r="N137" s="70"/>
    </row>
    <row r="138" ht="14.25" customHeight="1">
      <c r="A138" s="70"/>
      <c r="N138" s="70"/>
    </row>
    <row r="139" ht="14.25" customHeight="1">
      <c r="A139" s="70"/>
      <c r="N139" s="70"/>
    </row>
    <row r="140" ht="14.25" customHeight="1">
      <c r="A140" s="70"/>
      <c r="N140" s="70"/>
    </row>
    <row r="141" ht="14.25" customHeight="1">
      <c r="A141" s="70"/>
      <c r="N141" s="70"/>
    </row>
    <row r="142" ht="14.25" customHeight="1">
      <c r="A142" s="70"/>
      <c r="N142" s="70"/>
    </row>
    <row r="143" ht="14.25" customHeight="1">
      <c r="A143" s="70"/>
      <c r="N143" s="70"/>
    </row>
    <row r="144" ht="14.25" customHeight="1">
      <c r="A144" s="70"/>
      <c r="N144" s="70"/>
    </row>
    <row r="145" ht="14.25" customHeight="1">
      <c r="A145" s="70"/>
      <c r="N145" s="70"/>
    </row>
    <row r="146" ht="14.25" customHeight="1">
      <c r="A146" s="70"/>
      <c r="N146" s="70"/>
    </row>
    <row r="147" ht="14.25" customHeight="1">
      <c r="A147" s="70"/>
      <c r="N147" s="70"/>
    </row>
    <row r="148" ht="14.25" customHeight="1">
      <c r="A148" s="70"/>
      <c r="N148" s="70"/>
    </row>
    <row r="149" ht="14.25" customHeight="1">
      <c r="A149" s="70"/>
      <c r="N149" s="70"/>
    </row>
    <row r="150" ht="14.25" customHeight="1">
      <c r="A150" s="70"/>
      <c r="N150" s="70"/>
    </row>
    <row r="151" ht="14.25" customHeight="1">
      <c r="A151" s="70"/>
      <c r="N151" s="70"/>
    </row>
    <row r="152" ht="14.25" customHeight="1">
      <c r="A152" s="70"/>
      <c r="N152" s="70"/>
    </row>
    <row r="153" ht="14.25" customHeight="1">
      <c r="A153" s="70"/>
      <c r="N153" s="70"/>
    </row>
    <row r="154" ht="14.25" customHeight="1">
      <c r="A154" s="70"/>
      <c r="N154" s="70"/>
    </row>
    <row r="155" ht="14.25" customHeight="1">
      <c r="A155" s="70"/>
      <c r="N155" s="70"/>
    </row>
    <row r="156" ht="14.25" customHeight="1">
      <c r="A156" s="70"/>
      <c r="N156" s="70"/>
    </row>
    <row r="157" ht="14.25" customHeight="1">
      <c r="A157" s="70"/>
      <c r="N157" s="70"/>
    </row>
    <row r="158" ht="14.25" customHeight="1">
      <c r="A158" s="70"/>
      <c r="N158" s="70"/>
    </row>
    <row r="159" ht="14.25" customHeight="1">
      <c r="A159" s="70"/>
      <c r="N159" s="70"/>
    </row>
    <row r="160" ht="14.25" customHeight="1">
      <c r="A160" s="70"/>
      <c r="N160" s="70"/>
    </row>
    <row r="161" ht="14.25" customHeight="1">
      <c r="A161" s="70"/>
      <c r="N161" s="70"/>
    </row>
    <row r="162" ht="14.25" customHeight="1">
      <c r="A162" s="70"/>
      <c r="N162" s="70"/>
    </row>
    <row r="163" ht="14.25" customHeight="1">
      <c r="A163" s="70"/>
      <c r="N163" s="70"/>
    </row>
    <row r="164" ht="14.25" customHeight="1">
      <c r="A164" s="70"/>
      <c r="N164" s="70"/>
    </row>
    <row r="165" ht="14.25" customHeight="1">
      <c r="A165" s="70"/>
      <c r="N165" s="70"/>
    </row>
    <row r="166" ht="14.25" customHeight="1">
      <c r="A166" s="70"/>
      <c r="N166" s="70"/>
    </row>
    <row r="167" ht="14.25" customHeight="1">
      <c r="A167" s="70"/>
      <c r="N167" s="70"/>
    </row>
    <row r="168" ht="14.25" customHeight="1">
      <c r="A168" s="70"/>
      <c r="N168" s="70"/>
    </row>
    <row r="169" ht="14.25" customHeight="1">
      <c r="A169" s="70"/>
      <c r="N169" s="70"/>
    </row>
    <row r="170" ht="14.25" customHeight="1">
      <c r="A170" s="70"/>
      <c r="N170" s="70"/>
    </row>
    <row r="171" ht="14.25" customHeight="1">
      <c r="A171" s="70"/>
      <c r="N171" s="70"/>
    </row>
    <row r="172" ht="14.25" customHeight="1">
      <c r="A172" s="70"/>
      <c r="N172" s="70"/>
    </row>
    <row r="173" ht="14.25" customHeight="1">
      <c r="A173" s="70"/>
      <c r="N173" s="70"/>
    </row>
    <row r="174" ht="14.25" customHeight="1">
      <c r="A174" s="70"/>
      <c r="N174" s="70"/>
    </row>
    <row r="175" ht="14.25" customHeight="1">
      <c r="A175" s="70"/>
      <c r="N175" s="70"/>
    </row>
    <row r="176" ht="14.25" customHeight="1">
      <c r="A176" s="70"/>
      <c r="N176" s="70"/>
    </row>
    <row r="177" ht="14.25" customHeight="1">
      <c r="A177" s="70"/>
      <c r="N177" s="70"/>
    </row>
    <row r="178" ht="14.25" customHeight="1">
      <c r="A178" s="70"/>
      <c r="N178" s="70"/>
    </row>
    <row r="179" ht="14.25" customHeight="1">
      <c r="A179" s="70"/>
      <c r="N179" s="70"/>
    </row>
    <row r="180" ht="14.25" customHeight="1">
      <c r="A180" s="70"/>
      <c r="N180" s="70"/>
    </row>
    <row r="181" ht="14.25" customHeight="1">
      <c r="A181" s="70"/>
      <c r="N181" s="70"/>
    </row>
    <row r="182" ht="14.25" customHeight="1">
      <c r="A182" s="70"/>
      <c r="N182" s="70"/>
    </row>
    <row r="183" ht="14.25" customHeight="1">
      <c r="A183" s="70"/>
      <c r="N183" s="70"/>
    </row>
    <row r="184" ht="14.25" customHeight="1">
      <c r="A184" s="70"/>
      <c r="N184" s="70"/>
    </row>
    <row r="185" ht="14.25" customHeight="1">
      <c r="A185" s="70"/>
      <c r="N185" s="70"/>
    </row>
    <row r="186" ht="14.25" customHeight="1">
      <c r="A186" s="70"/>
      <c r="N186" s="70"/>
    </row>
    <row r="187" ht="14.25" customHeight="1">
      <c r="A187" s="70"/>
      <c r="N187" s="70"/>
    </row>
    <row r="188" ht="14.25" customHeight="1">
      <c r="A188" s="70"/>
      <c r="N188" s="70"/>
    </row>
    <row r="189" ht="14.25" customHeight="1">
      <c r="A189" s="70"/>
      <c r="N189" s="70"/>
    </row>
    <row r="190" ht="14.25" customHeight="1">
      <c r="A190" s="70"/>
      <c r="N190" s="70"/>
    </row>
    <row r="191" ht="14.25" customHeight="1">
      <c r="A191" s="70"/>
      <c r="N191" s="70"/>
    </row>
    <row r="192" ht="14.25" customHeight="1">
      <c r="A192" s="70"/>
      <c r="N192" s="70"/>
    </row>
    <row r="193" ht="14.25" customHeight="1">
      <c r="A193" s="70"/>
      <c r="N193" s="70"/>
    </row>
    <row r="194" ht="14.25" customHeight="1">
      <c r="A194" s="70"/>
      <c r="N194" s="70"/>
    </row>
    <row r="195" ht="14.25" customHeight="1">
      <c r="A195" s="70"/>
      <c r="N195" s="70"/>
    </row>
    <row r="196" ht="14.25" customHeight="1">
      <c r="A196" s="70"/>
      <c r="N196" s="70"/>
    </row>
    <row r="197" ht="14.25" customHeight="1">
      <c r="A197" s="70"/>
      <c r="N197" s="70"/>
    </row>
    <row r="198" ht="14.25" customHeight="1">
      <c r="A198" s="70"/>
      <c r="N198" s="70"/>
    </row>
    <row r="199" ht="14.25" customHeight="1">
      <c r="A199" s="70"/>
      <c r="N199" s="70"/>
    </row>
    <row r="200" ht="14.25" customHeight="1">
      <c r="A200" s="70"/>
      <c r="N200" s="70"/>
    </row>
    <row r="201" ht="14.25" customHeight="1">
      <c r="A201" s="70"/>
      <c r="N201" s="70"/>
    </row>
    <row r="202" ht="14.25" customHeight="1">
      <c r="A202" s="70"/>
      <c r="N202" s="70"/>
    </row>
    <row r="203" ht="14.25" customHeight="1">
      <c r="A203" s="70"/>
      <c r="N203" s="70"/>
    </row>
    <row r="204" ht="14.25" customHeight="1">
      <c r="A204" s="70"/>
      <c r="N204" s="70"/>
    </row>
    <row r="205" ht="14.25" customHeight="1">
      <c r="A205" s="70"/>
      <c r="N205" s="70"/>
    </row>
    <row r="206" ht="14.25" customHeight="1">
      <c r="A206" s="70"/>
      <c r="N206" s="70"/>
    </row>
    <row r="207" ht="14.25" customHeight="1">
      <c r="A207" s="70"/>
      <c r="N207" s="70"/>
    </row>
    <row r="208" ht="14.25" customHeight="1">
      <c r="A208" s="70"/>
      <c r="N208" s="70"/>
    </row>
    <row r="209" ht="14.25" customHeight="1">
      <c r="A209" s="70"/>
      <c r="N209" s="70"/>
    </row>
    <row r="210" ht="14.25" customHeight="1">
      <c r="A210" s="70"/>
      <c r="N210" s="70"/>
    </row>
    <row r="211" ht="14.25" customHeight="1">
      <c r="A211" s="70"/>
      <c r="N211" s="70"/>
    </row>
    <row r="212" ht="14.25" customHeight="1">
      <c r="A212" s="70"/>
      <c r="N212" s="70"/>
    </row>
    <row r="213" ht="14.25" customHeight="1">
      <c r="A213" s="70"/>
      <c r="N213" s="70"/>
    </row>
    <row r="214" ht="14.25" customHeight="1">
      <c r="A214" s="70"/>
      <c r="N214" s="70"/>
    </row>
    <row r="215" ht="14.25" customHeight="1">
      <c r="A215" s="70"/>
      <c r="N215" s="70"/>
    </row>
    <row r="216" ht="14.25" customHeight="1">
      <c r="A216" s="70"/>
      <c r="N216" s="70"/>
    </row>
    <row r="217" ht="14.25" customHeight="1">
      <c r="A217" s="70"/>
      <c r="N217" s="70"/>
    </row>
    <row r="218" ht="14.25" customHeight="1">
      <c r="A218" s="70"/>
      <c r="N218" s="70"/>
    </row>
    <row r="219" ht="14.25" customHeight="1">
      <c r="A219" s="70"/>
      <c r="N219" s="70"/>
    </row>
    <row r="220" ht="14.25" customHeight="1">
      <c r="A220" s="70"/>
      <c r="N220" s="70"/>
    </row>
    <row r="221" ht="14.25" customHeight="1">
      <c r="A221" s="70"/>
      <c r="N221" s="70"/>
    </row>
    <row r="222" ht="14.25" customHeight="1">
      <c r="A222" s="70"/>
      <c r="N222" s="70"/>
    </row>
    <row r="223" ht="14.25" customHeight="1">
      <c r="A223" s="70"/>
      <c r="N223" s="70"/>
    </row>
    <row r="224" ht="14.25" customHeight="1">
      <c r="A224" s="70"/>
      <c r="N224" s="70"/>
    </row>
    <row r="225" ht="14.25" customHeight="1">
      <c r="A225" s="70"/>
      <c r="N225" s="70"/>
    </row>
    <row r="226" ht="14.25" customHeight="1">
      <c r="A226" s="70"/>
      <c r="N226" s="70"/>
    </row>
    <row r="227" ht="14.25" customHeight="1">
      <c r="A227" s="70"/>
      <c r="N227" s="70"/>
    </row>
    <row r="228" ht="14.25" customHeight="1">
      <c r="A228" s="70"/>
      <c r="N228" s="70"/>
    </row>
    <row r="229" ht="14.25" customHeight="1">
      <c r="A229" s="70"/>
      <c r="N229" s="70"/>
    </row>
    <row r="230" ht="14.25" customHeight="1">
      <c r="A230" s="70"/>
      <c r="N230" s="70"/>
    </row>
    <row r="231" ht="14.25" customHeight="1">
      <c r="A231" s="70"/>
      <c r="N231" s="70"/>
    </row>
    <row r="232" ht="14.25" customHeight="1">
      <c r="A232" s="70"/>
      <c r="N232" s="70"/>
    </row>
    <row r="233" ht="14.25" customHeight="1">
      <c r="A233" s="70"/>
      <c r="N233" s="70"/>
    </row>
    <row r="234" ht="14.25" customHeight="1">
      <c r="A234" s="70"/>
      <c r="N234" s="70"/>
    </row>
    <row r="235" ht="14.25" customHeight="1">
      <c r="A235" s="70"/>
      <c r="N235" s="70"/>
    </row>
    <row r="236" ht="14.25" customHeight="1">
      <c r="A236" s="70"/>
      <c r="N236" s="70"/>
    </row>
    <row r="237" ht="14.25" customHeight="1">
      <c r="A237" s="70"/>
      <c r="N237" s="70"/>
    </row>
    <row r="238" ht="14.25" customHeight="1">
      <c r="A238" s="70"/>
      <c r="N238" s="70"/>
    </row>
    <row r="239" ht="14.25" customHeight="1">
      <c r="A239" s="70"/>
      <c r="N239" s="70"/>
    </row>
    <row r="240" ht="14.25" customHeight="1">
      <c r="A240" s="70"/>
      <c r="N240" s="70"/>
    </row>
    <row r="241" ht="14.25" customHeight="1">
      <c r="A241" s="70"/>
      <c r="N241" s="70"/>
    </row>
    <row r="242" ht="14.25" customHeight="1">
      <c r="A242" s="70"/>
      <c r="N242" s="70"/>
    </row>
    <row r="243" ht="14.25" customHeight="1">
      <c r="A243" s="70"/>
      <c r="N243" s="70"/>
    </row>
    <row r="244" ht="14.25" customHeight="1">
      <c r="A244" s="70"/>
      <c r="N244" s="70"/>
    </row>
    <row r="245" ht="14.25" customHeight="1">
      <c r="A245" s="70"/>
      <c r="N245" s="70"/>
    </row>
    <row r="246" ht="14.25" customHeight="1">
      <c r="A246" s="70"/>
      <c r="N246" s="70"/>
    </row>
    <row r="247" ht="14.25" customHeight="1">
      <c r="A247" s="70"/>
      <c r="N247" s="70"/>
    </row>
    <row r="248" ht="14.25" customHeight="1">
      <c r="A248" s="70"/>
      <c r="N248" s="70"/>
    </row>
    <row r="249" ht="14.25" customHeight="1">
      <c r="A249" s="70"/>
      <c r="N249" s="70"/>
    </row>
    <row r="250" ht="14.25" customHeight="1">
      <c r="A250" s="70"/>
      <c r="N250" s="70"/>
    </row>
    <row r="251" ht="14.25" customHeight="1">
      <c r="A251" s="70"/>
      <c r="N251" s="70"/>
    </row>
    <row r="252" ht="14.25" customHeight="1">
      <c r="A252" s="70"/>
      <c r="N252" s="70"/>
    </row>
    <row r="253" ht="14.25" customHeight="1">
      <c r="A253" s="70"/>
      <c r="N253" s="70"/>
    </row>
    <row r="254" ht="14.25" customHeight="1">
      <c r="A254" s="70"/>
      <c r="N254" s="70"/>
    </row>
    <row r="255" ht="14.25" customHeight="1">
      <c r="A255" s="70"/>
      <c r="N255" s="70"/>
    </row>
    <row r="256" ht="14.25" customHeight="1">
      <c r="A256" s="70"/>
      <c r="N256" s="70"/>
    </row>
    <row r="257" ht="14.25" customHeight="1">
      <c r="A257" s="70"/>
      <c r="N257" s="70"/>
    </row>
    <row r="258" ht="14.25" customHeight="1">
      <c r="A258" s="70"/>
      <c r="N258" s="70"/>
    </row>
    <row r="259" ht="14.25" customHeight="1">
      <c r="A259" s="70"/>
      <c r="N259" s="70"/>
    </row>
    <row r="260" ht="14.25" customHeight="1">
      <c r="A260" s="70"/>
      <c r="N260" s="70"/>
    </row>
    <row r="261" ht="14.25" customHeight="1">
      <c r="A261" s="70"/>
      <c r="N261" s="70"/>
    </row>
    <row r="262" ht="14.25" customHeight="1">
      <c r="A262" s="70"/>
      <c r="N262" s="70"/>
    </row>
    <row r="263" ht="14.25" customHeight="1">
      <c r="A263" s="70"/>
      <c r="N263" s="70"/>
    </row>
    <row r="264" ht="14.25" customHeight="1">
      <c r="A264" s="70"/>
      <c r="N264" s="70"/>
    </row>
    <row r="265" ht="14.25" customHeight="1">
      <c r="A265" s="70"/>
      <c r="N265" s="70"/>
    </row>
    <row r="266" ht="14.25" customHeight="1">
      <c r="A266" s="70"/>
      <c r="N266" s="70"/>
    </row>
    <row r="267" ht="14.25" customHeight="1">
      <c r="A267" s="70"/>
      <c r="N267" s="70"/>
    </row>
    <row r="268" ht="14.25" customHeight="1">
      <c r="A268" s="70"/>
      <c r="N268" s="70"/>
    </row>
    <row r="269" ht="14.25" customHeight="1">
      <c r="A269" s="70"/>
      <c r="N269" s="70"/>
    </row>
    <row r="270" ht="14.25" customHeight="1">
      <c r="A270" s="70"/>
      <c r="N270" s="70"/>
    </row>
    <row r="271" ht="14.25" customHeight="1">
      <c r="A271" s="70"/>
      <c r="N271" s="70"/>
    </row>
    <row r="272" ht="14.25" customHeight="1">
      <c r="A272" s="70"/>
      <c r="N272" s="70"/>
    </row>
    <row r="273" ht="14.25" customHeight="1">
      <c r="A273" s="70"/>
      <c r="N273" s="70"/>
    </row>
    <row r="274" ht="14.25" customHeight="1">
      <c r="A274" s="70"/>
      <c r="N274" s="70"/>
    </row>
    <row r="275" ht="14.25" customHeight="1">
      <c r="A275" s="70"/>
      <c r="N275" s="70"/>
    </row>
    <row r="276" ht="14.25" customHeight="1">
      <c r="A276" s="70"/>
      <c r="N276" s="70"/>
    </row>
    <row r="277" ht="14.25" customHeight="1">
      <c r="A277" s="70"/>
      <c r="N277" s="70"/>
    </row>
    <row r="278" ht="14.25" customHeight="1">
      <c r="A278" s="70"/>
      <c r="N278" s="70"/>
    </row>
    <row r="279" ht="14.25" customHeight="1">
      <c r="A279" s="70"/>
      <c r="N279" s="70"/>
    </row>
    <row r="280" ht="14.25" customHeight="1">
      <c r="A280" s="70"/>
      <c r="N280" s="70"/>
    </row>
    <row r="281" ht="14.25" customHeight="1">
      <c r="A281" s="70"/>
      <c r="N281" s="70"/>
    </row>
    <row r="282" ht="14.25" customHeight="1">
      <c r="A282" s="70"/>
      <c r="N282" s="70"/>
    </row>
    <row r="283" ht="14.25" customHeight="1">
      <c r="A283" s="70"/>
      <c r="N283" s="70"/>
    </row>
    <row r="284" ht="14.25" customHeight="1">
      <c r="A284" s="70"/>
      <c r="N284" s="70"/>
    </row>
    <row r="285" ht="14.25" customHeight="1">
      <c r="A285" s="70"/>
      <c r="N285" s="70"/>
    </row>
    <row r="286" ht="14.25" customHeight="1">
      <c r="A286" s="70"/>
      <c r="N286" s="70"/>
    </row>
    <row r="287" ht="14.25" customHeight="1">
      <c r="A287" s="70"/>
      <c r="N287" s="70"/>
    </row>
    <row r="288" ht="14.25" customHeight="1">
      <c r="A288" s="70"/>
      <c r="N288" s="70"/>
    </row>
    <row r="289" ht="14.25" customHeight="1">
      <c r="A289" s="70"/>
      <c r="N289" s="70"/>
    </row>
    <row r="290" ht="14.25" customHeight="1">
      <c r="A290" s="70"/>
      <c r="N290" s="70"/>
    </row>
    <row r="291" ht="14.25" customHeight="1">
      <c r="A291" s="70"/>
      <c r="N291" s="70"/>
    </row>
    <row r="292" ht="14.25" customHeight="1">
      <c r="A292" s="70"/>
      <c r="N292" s="70"/>
    </row>
    <row r="293" ht="14.25" customHeight="1">
      <c r="A293" s="70"/>
      <c r="N293" s="70"/>
    </row>
    <row r="294" ht="14.25" customHeight="1">
      <c r="A294" s="70"/>
      <c r="N294" s="70"/>
    </row>
    <row r="295" ht="14.25" customHeight="1">
      <c r="A295" s="70"/>
      <c r="N295" s="70"/>
    </row>
    <row r="296" ht="14.25" customHeight="1">
      <c r="A296" s="70"/>
      <c r="N296" s="70"/>
    </row>
    <row r="297" ht="14.25" customHeight="1">
      <c r="A297" s="70"/>
      <c r="N297" s="70"/>
    </row>
    <row r="298" ht="14.25" customHeight="1">
      <c r="A298" s="70"/>
      <c r="N298" s="70"/>
    </row>
    <row r="299" ht="14.25" customHeight="1">
      <c r="A299" s="70"/>
      <c r="N299" s="70"/>
    </row>
    <row r="300" ht="14.25" customHeight="1">
      <c r="A300" s="70"/>
      <c r="N300" s="70"/>
    </row>
    <row r="301" ht="14.25" customHeight="1">
      <c r="A301" s="70"/>
      <c r="N301" s="70"/>
    </row>
    <row r="302" ht="14.25" customHeight="1">
      <c r="A302" s="70"/>
      <c r="N302" s="70"/>
    </row>
    <row r="303" ht="14.25" customHeight="1">
      <c r="A303" s="70"/>
      <c r="N303" s="70"/>
    </row>
    <row r="304" ht="14.25" customHeight="1">
      <c r="A304" s="70"/>
      <c r="N304" s="70"/>
    </row>
    <row r="305" ht="14.25" customHeight="1">
      <c r="A305" s="70"/>
      <c r="N305" s="70"/>
    </row>
    <row r="306" ht="14.25" customHeight="1">
      <c r="A306" s="70"/>
      <c r="N306" s="70"/>
    </row>
    <row r="307" ht="14.25" customHeight="1">
      <c r="A307" s="70"/>
      <c r="N307" s="70"/>
    </row>
    <row r="308" ht="14.25" customHeight="1">
      <c r="A308" s="70"/>
      <c r="N308" s="70"/>
    </row>
    <row r="309" ht="14.25" customHeight="1">
      <c r="A309" s="70"/>
      <c r="N309" s="70"/>
    </row>
    <row r="310" ht="14.25" customHeight="1">
      <c r="A310" s="70"/>
      <c r="N310" s="70"/>
    </row>
    <row r="311" ht="14.25" customHeight="1">
      <c r="A311" s="70"/>
      <c r="N311" s="70"/>
    </row>
    <row r="312" ht="14.25" customHeight="1">
      <c r="A312" s="70"/>
      <c r="N312" s="70"/>
    </row>
    <row r="313" ht="14.25" customHeight="1">
      <c r="A313" s="70"/>
      <c r="N313" s="70"/>
    </row>
    <row r="314" ht="14.25" customHeight="1">
      <c r="A314" s="70"/>
      <c r="N314" s="70"/>
    </row>
    <row r="315" ht="14.25" customHeight="1">
      <c r="A315" s="70"/>
      <c r="N315" s="70"/>
    </row>
    <row r="316" ht="14.25" customHeight="1">
      <c r="A316" s="70"/>
      <c r="N316" s="70"/>
    </row>
    <row r="317" ht="14.25" customHeight="1">
      <c r="A317" s="70"/>
      <c r="N317" s="70"/>
    </row>
    <row r="318" ht="14.25" customHeight="1">
      <c r="A318" s="70"/>
      <c r="N318" s="70"/>
    </row>
    <row r="319" ht="14.25" customHeight="1">
      <c r="A319" s="70"/>
      <c r="N319" s="70"/>
    </row>
    <row r="320" ht="14.25" customHeight="1">
      <c r="A320" s="70"/>
      <c r="N320" s="70"/>
    </row>
    <row r="321" ht="14.25" customHeight="1">
      <c r="A321" s="70"/>
      <c r="N321" s="70"/>
    </row>
    <row r="322" ht="14.25" customHeight="1">
      <c r="A322" s="70"/>
      <c r="N322" s="70"/>
    </row>
    <row r="323" ht="14.25" customHeight="1">
      <c r="A323" s="70"/>
      <c r="N323" s="70"/>
    </row>
    <row r="324" ht="14.25" customHeight="1">
      <c r="A324" s="70"/>
      <c r="N324" s="70"/>
    </row>
    <row r="325" ht="14.25" customHeight="1">
      <c r="A325" s="70"/>
      <c r="N325" s="70"/>
    </row>
    <row r="326" ht="14.25" customHeight="1">
      <c r="A326" s="70"/>
      <c r="N326" s="70"/>
    </row>
    <row r="327" ht="14.25" customHeight="1">
      <c r="A327" s="70"/>
      <c r="N327" s="70"/>
    </row>
    <row r="328" ht="14.25" customHeight="1">
      <c r="A328" s="70"/>
      <c r="N328" s="70"/>
    </row>
    <row r="329" ht="14.25" customHeight="1">
      <c r="A329" s="70"/>
      <c r="N329" s="70"/>
    </row>
    <row r="330" ht="14.25" customHeight="1">
      <c r="A330" s="70"/>
      <c r="N330" s="70"/>
    </row>
    <row r="331" ht="14.25" customHeight="1">
      <c r="A331" s="70"/>
      <c r="N331" s="70"/>
    </row>
    <row r="332" ht="14.25" customHeight="1">
      <c r="A332" s="70"/>
      <c r="N332" s="70"/>
    </row>
    <row r="333" ht="14.25" customHeight="1">
      <c r="A333" s="70"/>
      <c r="N333" s="70"/>
    </row>
    <row r="334" ht="14.25" customHeight="1">
      <c r="A334" s="70"/>
      <c r="N334" s="70"/>
    </row>
    <row r="335" ht="14.25" customHeight="1">
      <c r="A335" s="70"/>
      <c r="N335" s="70"/>
    </row>
    <row r="336" ht="14.25" customHeight="1">
      <c r="A336" s="70"/>
      <c r="N336" s="70"/>
    </row>
    <row r="337" ht="14.25" customHeight="1">
      <c r="A337" s="70"/>
      <c r="N337" s="70"/>
    </row>
    <row r="338" ht="14.25" customHeight="1">
      <c r="A338" s="70"/>
      <c r="N338" s="70"/>
    </row>
    <row r="339" ht="14.25" customHeight="1">
      <c r="A339" s="70"/>
      <c r="N339" s="70"/>
    </row>
    <row r="340" ht="14.25" customHeight="1">
      <c r="A340" s="70"/>
      <c r="N340" s="70"/>
    </row>
    <row r="341" ht="14.25" customHeight="1">
      <c r="A341" s="70"/>
      <c r="N341" s="70"/>
    </row>
    <row r="342" ht="14.25" customHeight="1">
      <c r="A342" s="70"/>
      <c r="N342" s="70"/>
    </row>
    <row r="343" ht="14.25" customHeight="1">
      <c r="A343" s="70"/>
      <c r="N343" s="70"/>
    </row>
    <row r="344" ht="14.25" customHeight="1">
      <c r="A344" s="70"/>
      <c r="N344" s="70"/>
    </row>
    <row r="345" ht="14.25" customHeight="1">
      <c r="A345" s="70"/>
      <c r="N345" s="70"/>
    </row>
    <row r="346" ht="14.25" customHeight="1">
      <c r="A346" s="70"/>
      <c r="N346" s="70"/>
    </row>
    <row r="347" ht="14.25" customHeight="1">
      <c r="A347" s="70"/>
      <c r="N347" s="70"/>
    </row>
    <row r="348" ht="14.25" customHeight="1">
      <c r="A348" s="70"/>
      <c r="N348" s="70"/>
    </row>
    <row r="349" ht="14.25" customHeight="1">
      <c r="A349" s="70"/>
      <c r="N349" s="70"/>
    </row>
    <row r="350" ht="14.25" customHeight="1">
      <c r="A350" s="70"/>
      <c r="N350" s="70"/>
    </row>
    <row r="351" ht="14.25" customHeight="1">
      <c r="A351" s="70"/>
      <c r="N351" s="70"/>
    </row>
    <row r="352" ht="14.25" customHeight="1">
      <c r="A352" s="70"/>
      <c r="N352" s="70"/>
    </row>
    <row r="353" ht="14.25" customHeight="1">
      <c r="A353" s="70"/>
      <c r="N353" s="70"/>
    </row>
    <row r="354" ht="14.25" customHeight="1">
      <c r="A354" s="70"/>
      <c r="N354" s="70"/>
    </row>
    <row r="355" ht="14.25" customHeight="1">
      <c r="A355" s="70"/>
      <c r="N355" s="70"/>
    </row>
    <row r="356" ht="14.25" customHeight="1">
      <c r="A356" s="70"/>
      <c r="N356" s="70"/>
    </row>
    <row r="357" ht="14.25" customHeight="1">
      <c r="A357" s="70"/>
      <c r="N357" s="70"/>
    </row>
    <row r="358" ht="14.25" customHeight="1">
      <c r="A358" s="70"/>
      <c r="N358" s="70"/>
    </row>
    <row r="359" ht="14.25" customHeight="1">
      <c r="A359" s="70"/>
      <c r="N359" s="70"/>
    </row>
    <row r="360" ht="14.25" customHeight="1">
      <c r="A360" s="70"/>
      <c r="N360" s="70"/>
    </row>
    <row r="361" ht="14.25" customHeight="1">
      <c r="A361" s="70"/>
      <c r="N361" s="70"/>
    </row>
    <row r="362" ht="14.25" customHeight="1">
      <c r="A362" s="70"/>
      <c r="N362" s="70"/>
    </row>
    <row r="363" ht="14.25" customHeight="1">
      <c r="A363" s="70"/>
      <c r="N363" s="70"/>
    </row>
    <row r="364" ht="14.25" customHeight="1">
      <c r="A364" s="70"/>
      <c r="N364" s="70"/>
    </row>
    <row r="365" ht="14.25" customHeight="1">
      <c r="A365" s="70"/>
      <c r="N365" s="70"/>
    </row>
    <row r="366" ht="14.25" customHeight="1">
      <c r="A366" s="70"/>
      <c r="N366" s="70"/>
    </row>
    <row r="367" ht="14.25" customHeight="1">
      <c r="A367" s="70"/>
      <c r="N367" s="70"/>
    </row>
    <row r="368" ht="14.25" customHeight="1">
      <c r="A368" s="70"/>
      <c r="N368" s="70"/>
    </row>
    <row r="369" ht="14.25" customHeight="1">
      <c r="A369" s="70"/>
      <c r="N369" s="70"/>
    </row>
    <row r="370" ht="14.25" customHeight="1">
      <c r="A370" s="70"/>
      <c r="N370" s="70"/>
    </row>
    <row r="371" ht="14.25" customHeight="1">
      <c r="A371" s="70"/>
      <c r="N371" s="70"/>
    </row>
    <row r="372" ht="14.25" customHeight="1">
      <c r="A372" s="70"/>
      <c r="N372" s="70"/>
    </row>
    <row r="373" ht="14.25" customHeight="1">
      <c r="A373" s="70"/>
      <c r="N373" s="70"/>
    </row>
    <row r="374" ht="14.25" customHeight="1">
      <c r="A374" s="70"/>
      <c r="N374" s="70"/>
    </row>
    <row r="375" ht="14.25" customHeight="1">
      <c r="A375" s="70"/>
      <c r="N375" s="70"/>
    </row>
    <row r="376" ht="14.25" customHeight="1">
      <c r="A376" s="70"/>
      <c r="N376" s="70"/>
    </row>
    <row r="377" ht="14.25" customHeight="1">
      <c r="A377" s="70"/>
      <c r="N377" s="70"/>
    </row>
    <row r="378" ht="14.25" customHeight="1">
      <c r="A378" s="70"/>
      <c r="N378" s="70"/>
    </row>
    <row r="379" ht="14.25" customHeight="1">
      <c r="A379" s="70"/>
      <c r="N379" s="70"/>
    </row>
    <row r="380" ht="14.25" customHeight="1">
      <c r="A380" s="70"/>
      <c r="N380" s="70"/>
    </row>
    <row r="381" ht="14.25" customHeight="1">
      <c r="A381" s="70"/>
      <c r="N381" s="70"/>
    </row>
    <row r="382" ht="14.25" customHeight="1">
      <c r="A382" s="70"/>
      <c r="N382" s="70"/>
    </row>
    <row r="383" ht="14.25" customHeight="1">
      <c r="A383" s="70"/>
      <c r="N383" s="70"/>
    </row>
    <row r="384" ht="14.25" customHeight="1">
      <c r="A384" s="70"/>
      <c r="N384" s="70"/>
    </row>
    <row r="385" ht="14.25" customHeight="1">
      <c r="A385" s="70"/>
      <c r="N385" s="70"/>
    </row>
    <row r="386" ht="14.25" customHeight="1">
      <c r="A386" s="70"/>
      <c r="N386" s="70"/>
    </row>
    <row r="387" ht="14.25" customHeight="1">
      <c r="A387" s="70"/>
      <c r="N387" s="70"/>
    </row>
    <row r="388" ht="14.25" customHeight="1">
      <c r="A388" s="70"/>
      <c r="N388" s="70"/>
    </row>
    <row r="389" ht="14.25" customHeight="1">
      <c r="A389" s="70"/>
      <c r="N389" s="70"/>
    </row>
    <row r="390" ht="14.25" customHeight="1">
      <c r="A390" s="70"/>
      <c r="N390" s="70"/>
    </row>
    <row r="391" ht="14.25" customHeight="1">
      <c r="A391" s="70"/>
      <c r="N391" s="70"/>
    </row>
    <row r="392" ht="14.25" customHeight="1">
      <c r="A392" s="70"/>
      <c r="N392" s="70"/>
    </row>
    <row r="393" ht="14.25" customHeight="1">
      <c r="A393" s="70"/>
      <c r="N393" s="70"/>
    </row>
    <row r="394" ht="14.25" customHeight="1">
      <c r="A394" s="70"/>
      <c r="N394" s="70"/>
    </row>
    <row r="395" ht="14.25" customHeight="1">
      <c r="A395" s="70"/>
      <c r="N395" s="70"/>
    </row>
    <row r="396" ht="14.25" customHeight="1">
      <c r="A396" s="70"/>
      <c r="N396" s="70"/>
    </row>
    <row r="397" ht="14.25" customHeight="1">
      <c r="A397" s="70"/>
      <c r="N397" s="70"/>
    </row>
    <row r="398" ht="14.25" customHeight="1">
      <c r="A398" s="70"/>
      <c r="N398" s="70"/>
    </row>
    <row r="399" ht="14.25" customHeight="1">
      <c r="A399" s="70"/>
      <c r="N399" s="70"/>
    </row>
    <row r="400" ht="14.25" customHeight="1">
      <c r="A400" s="70"/>
      <c r="N400" s="70"/>
    </row>
    <row r="401" ht="14.25" customHeight="1">
      <c r="A401" s="70"/>
      <c r="N401" s="70"/>
    </row>
    <row r="402" ht="14.25" customHeight="1">
      <c r="A402" s="70"/>
      <c r="N402" s="70"/>
    </row>
    <row r="403" ht="14.25" customHeight="1">
      <c r="A403" s="70"/>
      <c r="N403" s="70"/>
    </row>
    <row r="404" ht="14.25" customHeight="1">
      <c r="A404" s="70"/>
      <c r="N404" s="70"/>
    </row>
    <row r="405" ht="14.25" customHeight="1">
      <c r="A405" s="70"/>
      <c r="N405" s="70"/>
    </row>
    <row r="406" ht="14.25" customHeight="1">
      <c r="A406" s="70"/>
      <c r="N406" s="70"/>
    </row>
    <row r="407" ht="14.25" customHeight="1">
      <c r="A407" s="70"/>
      <c r="N407" s="70"/>
    </row>
    <row r="408" ht="14.25" customHeight="1">
      <c r="A408" s="70"/>
      <c r="N408" s="70"/>
    </row>
    <row r="409" ht="14.25" customHeight="1">
      <c r="A409" s="70"/>
      <c r="N409" s="70"/>
    </row>
    <row r="410" ht="14.25" customHeight="1">
      <c r="A410" s="70"/>
      <c r="N410" s="70"/>
    </row>
    <row r="411" ht="14.25" customHeight="1">
      <c r="A411" s="70"/>
      <c r="N411" s="70"/>
    </row>
    <row r="412" ht="14.25" customHeight="1">
      <c r="A412" s="70"/>
      <c r="N412" s="70"/>
    </row>
    <row r="413" ht="14.25" customHeight="1">
      <c r="A413" s="70"/>
      <c r="N413" s="70"/>
    </row>
    <row r="414" ht="14.25" customHeight="1">
      <c r="A414" s="70"/>
      <c r="N414" s="70"/>
    </row>
    <row r="415" ht="14.25" customHeight="1">
      <c r="A415" s="70"/>
      <c r="N415" s="70"/>
    </row>
    <row r="416" ht="14.25" customHeight="1">
      <c r="A416" s="70"/>
      <c r="N416" s="70"/>
    </row>
    <row r="417" ht="14.25" customHeight="1">
      <c r="A417" s="70"/>
      <c r="N417" s="70"/>
    </row>
    <row r="418" ht="14.25" customHeight="1">
      <c r="A418" s="70"/>
      <c r="N418" s="70"/>
    </row>
    <row r="419" ht="14.25" customHeight="1">
      <c r="A419" s="70"/>
      <c r="N419" s="70"/>
    </row>
    <row r="420" ht="14.25" customHeight="1">
      <c r="A420" s="70"/>
      <c r="N420" s="70"/>
    </row>
    <row r="421" ht="14.25" customHeight="1">
      <c r="A421" s="70"/>
      <c r="N421" s="70"/>
    </row>
    <row r="422" ht="14.25" customHeight="1">
      <c r="A422" s="70"/>
      <c r="N422" s="70"/>
    </row>
    <row r="423" ht="14.25" customHeight="1">
      <c r="A423" s="70"/>
      <c r="N423" s="70"/>
    </row>
    <row r="424" ht="14.25" customHeight="1">
      <c r="A424" s="70"/>
      <c r="N424" s="70"/>
    </row>
    <row r="425" ht="14.25" customHeight="1">
      <c r="A425" s="70"/>
      <c r="N425" s="70"/>
    </row>
    <row r="426" ht="14.25" customHeight="1">
      <c r="A426" s="70"/>
      <c r="N426" s="70"/>
    </row>
    <row r="427" ht="14.25" customHeight="1">
      <c r="A427" s="70"/>
      <c r="N427" s="70"/>
    </row>
    <row r="428" ht="14.25" customHeight="1">
      <c r="A428" s="70"/>
      <c r="N428" s="70"/>
    </row>
    <row r="429" ht="14.25" customHeight="1">
      <c r="A429" s="70"/>
      <c r="N429" s="70"/>
    </row>
    <row r="430" ht="14.25" customHeight="1">
      <c r="A430" s="70"/>
      <c r="N430" s="70"/>
    </row>
    <row r="431" ht="14.25" customHeight="1">
      <c r="A431" s="70"/>
      <c r="N431" s="70"/>
    </row>
    <row r="432" ht="14.25" customHeight="1">
      <c r="A432" s="70"/>
      <c r="N432" s="70"/>
    </row>
    <row r="433" ht="14.25" customHeight="1">
      <c r="A433" s="70"/>
      <c r="N433" s="70"/>
    </row>
    <row r="434" ht="14.25" customHeight="1">
      <c r="A434" s="70"/>
      <c r="N434" s="70"/>
    </row>
    <row r="435" ht="14.25" customHeight="1">
      <c r="A435" s="70"/>
      <c r="N435" s="70"/>
    </row>
    <row r="436" ht="14.25" customHeight="1">
      <c r="A436" s="70"/>
      <c r="N436" s="70"/>
    </row>
    <row r="437" ht="14.25" customHeight="1">
      <c r="A437" s="70"/>
      <c r="N437" s="70"/>
    </row>
    <row r="438" ht="14.25" customHeight="1">
      <c r="A438" s="70"/>
      <c r="N438" s="70"/>
    </row>
    <row r="439" ht="14.25" customHeight="1">
      <c r="A439" s="70"/>
      <c r="N439" s="70"/>
    </row>
    <row r="440" ht="14.25" customHeight="1">
      <c r="A440" s="70"/>
      <c r="N440" s="70"/>
    </row>
    <row r="441" ht="14.25" customHeight="1">
      <c r="A441" s="70"/>
      <c r="N441" s="70"/>
    </row>
    <row r="442" ht="14.25" customHeight="1">
      <c r="A442" s="70"/>
      <c r="N442" s="70"/>
    </row>
    <row r="443" ht="14.25" customHeight="1">
      <c r="A443" s="70"/>
      <c r="N443" s="70"/>
    </row>
    <row r="444" ht="14.25" customHeight="1">
      <c r="A444" s="70"/>
      <c r="N444" s="70"/>
    </row>
    <row r="445" ht="14.25" customHeight="1">
      <c r="A445" s="70"/>
      <c r="N445" s="70"/>
    </row>
    <row r="446" ht="14.25" customHeight="1">
      <c r="A446" s="70"/>
      <c r="N446" s="70"/>
    </row>
    <row r="447" ht="14.25" customHeight="1">
      <c r="A447" s="70"/>
      <c r="N447" s="70"/>
    </row>
    <row r="448" ht="14.25" customHeight="1">
      <c r="A448" s="70"/>
      <c r="N448" s="70"/>
    </row>
    <row r="449" ht="14.25" customHeight="1">
      <c r="A449" s="70"/>
      <c r="N449" s="70"/>
    </row>
    <row r="450" ht="14.25" customHeight="1">
      <c r="A450" s="70"/>
      <c r="N450" s="70"/>
    </row>
    <row r="451" ht="14.25" customHeight="1">
      <c r="A451" s="70"/>
      <c r="N451" s="70"/>
    </row>
    <row r="452" ht="14.25" customHeight="1">
      <c r="A452" s="70"/>
      <c r="N452" s="70"/>
    </row>
    <row r="453" ht="14.25" customHeight="1">
      <c r="A453" s="70"/>
      <c r="N453" s="70"/>
    </row>
    <row r="454" ht="14.25" customHeight="1">
      <c r="A454" s="70"/>
      <c r="N454" s="70"/>
    </row>
    <row r="455" ht="14.25" customHeight="1">
      <c r="A455" s="70"/>
      <c r="N455" s="70"/>
    </row>
    <row r="456" ht="14.25" customHeight="1">
      <c r="A456" s="70"/>
      <c r="N456" s="70"/>
    </row>
    <row r="457" ht="14.25" customHeight="1">
      <c r="A457" s="70"/>
      <c r="N457" s="70"/>
    </row>
    <row r="458" ht="14.25" customHeight="1">
      <c r="A458" s="70"/>
      <c r="N458" s="70"/>
    </row>
    <row r="459" ht="14.25" customHeight="1">
      <c r="A459" s="70"/>
      <c r="N459" s="70"/>
    </row>
    <row r="460" ht="14.25" customHeight="1">
      <c r="A460" s="70"/>
      <c r="N460" s="70"/>
    </row>
    <row r="461" ht="14.25" customHeight="1">
      <c r="A461" s="70"/>
      <c r="N461" s="70"/>
    </row>
    <row r="462" ht="14.25" customHeight="1">
      <c r="A462" s="70"/>
      <c r="N462" s="70"/>
    </row>
    <row r="463" ht="14.25" customHeight="1">
      <c r="A463" s="70"/>
      <c r="N463" s="70"/>
    </row>
    <row r="464" ht="14.25" customHeight="1">
      <c r="A464" s="70"/>
      <c r="N464" s="70"/>
    </row>
    <row r="465" ht="14.25" customHeight="1">
      <c r="A465" s="70"/>
      <c r="N465" s="70"/>
    </row>
    <row r="466" ht="14.25" customHeight="1">
      <c r="A466" s="70"/>
      <c r="N466" s="70"/>
    </row>
    <row r="467" ht="14.25" customHeight="1">
      <c r="A467" s="70"/>
      <c r="N467" s="70"/>
    </row>
    <row r="468" ht="14.25" customHeight="1">
      <c r="A468" s="70"/>
      <c r="N468" s="70"/>
    </row>
    <row r="469" ht="14.25" customHeight="1">
      <c r="A469" s="70"/>
      <c r="N469" s="70"/>
    </row>
    <row r="470" ht="14.25" customHeight="1">
      <c r="A470" s="70"/>
      <c r="N470" s="70"/>
    </row>
    <row r="471" ht="14.25" customHeight="1">
      <c r="A471" s="70"/>
      <c r="N471" s="70"/>
    </row>
    <row r="472" ht="14.25" customHeight="1">
      <c r="A472" s="70"/>
      <c r="N472" s="70"/>
    </row>
    <row r="473" ht="14.25" customHeight="1">
      <c r="A473" s="70"/>
      <c r="N473" s="70"/>
    </row>
    <row r="474" ht="14.25" customHeight="1">
      <c r="A474" s="70"/>
      <c r="N474" s="70"/>
    </row>
    <row r="475" ht="14.25" customHeight="1">
      <c r="A475" s="70"/>
      <c r="N475" s="70"/>
    </row>
    <row r="476" ht="14.25" customHeight="1">
      <c r="A476" s="70"/>
      <c r="N476" s="70"/>
    </row>
    <row r="477" ht="14.25" customHeight="1">
      <c r="A477" s="70"/>
      <c r="N477" s="70"/>
    </row>
    <row r="478" ht="14.25" customHeight="1">
      <c r="A478" s="70"/>
      <c r="N478" s="70"/>
    </row>
    <row r="479" ht="14.25" customHeight="1">
      <c r="A479" s="70"/>
      <c r="N479" s="70"/>
    </row>
    <row r="480" ht="14.25" customHeight="1">
      <c r="A480" s="70"/>
      <c r="N480" s="70"/>
    </row>
    <row r="481" ht="14.25" customHeight="1">
      <c r="A481" s="70"/>
      <c r="N481" s="70"/>
    </row>
    <row r="482" ht="14.25" customHeight="1">
      <c r="A482" s="70"/>
      <c r="N482" s="70"/>
    </row>
    <row r="483" ht="14.25" customHeight="1">
      <c r="A483" s="70"/>
      <c r="N483" s="70"/>
    </row>
    <row r="484" ht="14.25" customHeight="1">
      <c r="A484" s="70"/>
      <c r="N484" s="70"/>
    </row>
    <row r="485" ht="14.25" customHeight="1">
      <c r="A485" s="70"/>
      <c r="N485" s="70"/>
    </row>
    <row r="486" ht="14.25" customHeight="1">
      <c r="A486" s="70"/>
      <c r="N486" s="70"/>
    </row>
    <row r="487" ht="14.25" customHeight="1">
      <c r="A487" s="70"/>
      <c r="N487" s="70"/>
    </row>
    <row r="488" ht="14.25" customHeight="1">
      <c r="A488" s="70"/>
      <c r="N488" s="70"/>
    </row>
    <row r="489" ht="14.25" customHeight="1">
      <c r="A489" s="70"/>
      <c r="N489" s="70"/>
    </row>
    <row r="490" ht="14.25" customHeight="1">
      <c r="A490" s="70"/>
      <c r="N490" s="70"/>
    </row>
    <row r="491" ht="14.25" customHeight="1">
      <c r="A491" s="70"/>
      <c r="N491" s="70"/>
    </row>
    <row r="492" ht="14.25" customHeight="1">
      <c r="A492" s="70"/>
      <c r="N492" s="70"/>
    </row>
    <row r="493" ht="14.25" customHeight="1">
      <c r="A493" s="70"/>
      <c r="N493" s="70"/>
    </row>
    <row r="494" ht="14.25" customHeight="1">
      <c r="A494" s="70"/>
      <c r="N494" s="70"/>
    </row>
    <row r="495" ht="14.25" customHeight="1">
      <c r="A495" s="70"/>
      <c r="N495" s="70"/>
    </row>
    <row r="496" ht="14.25" customHeight="1">
      <c r="A496" s="70"/>
      <c r="N496" s="70"/>
    </row>
    <row r="497" ht="14.25" customHeight="1">
      <c r="A497" s="70"/>
      <c r="N497" s="70"/>
    </row>
    <row r="498" ht="14.25" customHeight="1">
      <c r="A498" s="70"/>
      <c r="N498" s="70"/>
    </row>
    <row r="499" ht="14.25" customHeight="1">
      <c r="A499" s="70"/>
      <c r="N499" s="70"/>
    </row>
    <row r="500" ht="14.25" customHeight="1">
      <c r="A500" s="70"/>
      <c r="N500" s="70"/>
    </row>
    <row r="501" ht="14.25" customHeight="1">
      <c r="A501" s="70"/>
      <c r="N501" s="70"/>
    </row>
    <row r="502" ht="14.25" customHeight="1">
      <c r="A502" s="70"/>
      <c r="N502" s="70"/>
    </row>
    <row r="503" ht="14.25" customHeight="1">
      <c r="A503" s="70"/>
      <c r="N503" s="70"/>
    </row>
    <row r="504" ht="14.25" customHeight="1">
      <c r="A504" s="70"/>
      <c r="N504" s="70"/>
    </row>
    <row r="505" ht="14.25" customHeight="1">
      <c r="A505" s="70"/>
      <c r="N505" s="70"/>
    </row>
    <row r="506" ht="14.25" customHeight="1">
      <c r="A506" s="70"/>
      <c r="N506" s="70"/>
    </row>
    <row r="507" ht="14.25" customHeight="1">
      <c r="A507" s="70"/>
      <c r="N507" s="70"/>
    </row>
    <row r="508" ht="14.25" customHeight="1">
      <c r="A508" s="70"/>
      <c r="N508" s="70"/>
    </row>
    <row r="509" ht="14.25" customHeight="1">
      <c r="A509" s="70"/>
      <c r="N509" s="70"/>
    </row>
    <row r="510" ht="14.25" customHeight="1">
      <c r="A510" s="70"/>
      <c r="N510" s="70"/>
    </row>
    <row r="511" ht="14.25" customHeight="1">
      <c r="A511" s="70"/>
      <c r="N511" s="70"/>
    </row>
    <row r="512" ht="14.25" customHeight="1">
      <c r="A512" s="70"/>
      <c r="N512" s="70"/>
    </row>
    <row r="513" ht="14.25" customHeight="1">
      <c r="A513" s="70"/>
      <c r="N513" s="70"/>
    </row>
    <row r="514" ht="14.25" customHeight="1">
      <c r="A514" s="70"/>
      <c r="N514" s="70"/>
    </row>
    <row r="515" ht="14.25" customHeight="1">
      <c r="A515" s="70"/>
      <c r="N515" s="70"/>
    </row>
    <row r="516" ht="14.25" customHeight="1">
      <c r="A516" s="70"/>
      <c r="N516" s="70"/>
    </row>
    <row r="517" ht="14.25" customHeight="1">
      <c r="A517" s="70"/>
      <c r="N517" s="70"/>
    </row>
    <row r="518" ht="14.25" customHeight="1">
      <c r="A518" s="70"/>
      <c r="N518" s="70"/>
    </row>
    <row r="519" ht="14.25" customHeight="1">
      <c r="A519" s="70"/>
      <c r="N519" s="70"/>
    </row>
    <row r="520" ht="14.25" customHeight="1">
      <c r="A520" s="70"/>
      <c r="N520" s="70"/>
    </row>
    <row r="521" ht="14.25" customHeight="1">
      <c r="A521" s="70"/>
      <c r="N521" s="70"/>
    </row>
    <row r="522" ht="14.25" customHeight="1">
      <c r="A522" s="70"/>
      <c r="N522" s="70"/>
    </row>
    <row r="523" ht="14.25" customHeight="1">
      <c r="A523" s="70"/>
      <c r="N523" s="70"/>
    </row>
    <row r="524" ht="14.25" customHeight="1">
      <c r="A524" s="70"/>
      <c r="N524" s="70"/>
    </row>
    <row r="525" ht="14.25" customHeight="1">
      <c r="A525" s="70"/>
      <c r="N525" s="70"/>
    </row>
    <row r="526" ht="14.25" customHeight="1">
      <c r="A526" s="70"/>
      <c r="N526" s="70"/>
    </row>
    <row r="527" ht="14.25" customHeight="1">
      <c r="A527" s="70"/>
      <c r="N527" s="70"/>
    </row>
    <row r="528" ht="14.25" customHeight="1">
      <c r="A528" s="70"/>
      <c r="N528" s="70"/>
    </row>
    <row r="529" ht="14.25" customHeight="1">
      <c r="A529" s="70"/>
      <c r="N529" s="70"/>
    </row>
    <row r="530" ht="14.25" customHeight="1">
      <c r="A530" s="70"/>
      <c r="N530" s="70"/>
    </row>
    <row r="531" ht="14.25" customHeight="1">
      <c r="A531" s="70"/>
      <c r="N531" s="70"/>
    </row>
    <row r="532" ht="14.25" customHeight="1">
      <c r="A532" s="70"/>
      <c r="N532" s="70"/>
    </row>
    <row r="533" ht="14.25" customHeight="1">
      <c r="A533" s="70"/>
      <c r="N533" s="70"/>
    </row>
    <row r="534" ht="14.25" customHeight="1">
      <c r="A534" s="70"/>
      <c r="N534" s="70"/>
    </row>
    <row r="535" ht="14.25" customHeight="1">
      <c r="A535" s="70"/>
      <c r="N535" s="70"/>
    </row>
    <row r="536" ht="14.25" customHeight="1">
      <c r="A536" s="70"/>
      <c r="N536" s="70"/>
    </row>
    <row r="537" ht="14.25" customHeight="1">
      <c r="A537" s="70"/>
      <c r="N537" s="70"/>
    </row>
    <row r="538" ht="14.25" customHeight="1">
      <c r="A538" s="70"/>
      <c r="N538" s="70"/>
    </row>
    <row r="539" ht="14.25" customHeight="1">
      <c r="A539" s="70"/>
      <c r="N539" s="70"/>
    </row>
    <row r="540" ht="14.25" customHeight="1">
      <c r="A540" s="70"/>
      <c r="N540" s="70"/>
    </row>
    <row r="541" ht="14.25" customHeight="1">
      <c r="A541" s="70"/>
      <c r="N541" s="70"/>
    </row>
    <row r="542" ht="14.25" customHeight="1">
      <c r="A542" s="70"/>
      <c r="N542" s="70"/>
    </row>
    <row r="543" ht="14.25" customHeight="1">
      <c r="A543" s="70"/>
      <c r="N543" s="70"/>
    </row>
    <row r="544" ht="14.25" customHeight="1">
      <c r="A544" s="70"/>
      <c r="N544" s="70"/>
    </row>
    <row r="545" ht="14.25" customHeight="1">
      <c r="A545" s="70"/>
      <c r="N545" s="70"/>
    </row>
    <row r="546" ht="14.25" customHeight="1">
      <c r="A546" s="70"/>
      <c r="N546" s="70"/>
    </row>
    <row r="547" ht="14.25" customHeight="1">
      <c r="A547" s="70"/>
      <c r="N547" s="70"/>
    </row>
    <row r="548" ht="14.25" customHeight="1">
      <c r="A548" s="70"/>
      <c r="N548" s="70"/>
    </row>
    <row r="549" ht="14.25" customHeight="1">
      <c r="A549" s="70"/>
      <c r="N549" s="70"/>
    </row>
    <row r="550" ht="14.25" customHeight="1">
      <c r="A550" s="70"/>
      <c r="N550" s="70"/>
    </row>
    <row r="551" ht="14.25" customHeight="1">
      <c r="A551" s="70"/>
      <c r="N551" s="70"/>
    </row>
    <row r="552" ht="14.25" customHeight="1">
      <c r="A552" s="70"/>
      <c r="N552" s="70"/>
    </row>
    <row r="553" ht="14.25" customHeight="1">
      <c r="A553" s="70"/>
      <c r="N553" s="70"/>
    </row>
    <row r="554" ht="14.25" customHeight="1">
      <c r="A554" s="70"/>
      <c r="N554" s="70"/>
    </row>
    <row r="555" ht="14.25" customHeight="1">
      <c r="A555" s="70"/>
      <c r="N555" s="70"/>
    </row>
    <row r="556" ht="14.25" customHeight="1">
      <c r="A556" s="70"/>
      <c r="N556" s="70"/>
    </row>
    <row r="557" ht="14.25" customHeight="1">
      <c r="A557" s="70"/>
      <c r="N557" s="70"/>
    </row>
    <row r="558" ht="14.25" customHeight="1">
      <c r="A558" s="70"/>
      <c r="N558" s="70"/>
    </row>
    <row r="559" ht="14.25" customHeight="1">
      <c r="A559" s="70"/>
      <c r="N559" s="70"/>
    </row>
    <row r="560" ht="14.25" customHeight="1">
      <c r="A560" s="70"/>
      <c r="N560" s="70"/>
    </row>
    <row r="561" ht="14.25" customHeight="1">
      <c r="A561" s="70"/>
      <c r="N561" s="70"/>
    </row>
    <row r="562" ht="14.25" customHeight="1">
      <c r="A562" s="70"/>
      <c r="N562" s="70"/>
    </row>
    <row r="563" ht="14.25" customHeight="1">
      <c r="A563" s="70"/>
      <c r="N563" s="70"/>
    </row>
    <row r="564" ht="14.25" customHeight="1">
      <c r="A564" s="70"/>
      <c r="N564" s="70"/>
    </row>
    <row r="565" ht="14.25" customHeight="1">
      <c r="A565" s="70"/>
      <c r="N565" s="70"/>
    </row>
    <row r="566" ht="14.25" customHeight="1">
      <c r="A566" s="70"/>
      <c r="N566" s="70"/>
    </row>
    <row r="567" ht="14.25" customHeight="1">
      <c r="A567" s="70"/>
      <c r="N567" s="70"/>
    </row>
    <row r="568" ht="14.25" customHeight="1">
      <c r="A568" s="70"/>
      <c r="N568" s="70"/>
    </row>
    <row r="569" ht="14.25" customHeight="1">
      <c r="A569" s="70"/>
      <c r="N569" s="70"/>
    </row>
    <row r="570" ht="14.25" customHeight="1">
      <c r="A570" s="70"/>
      <c r="N570" s="70"/>
    </row>
    <row r="571" ht="14.25" customHeight="1">
      <c r="A571" s="70"/>
      <c r="N571" s="70"/>
    </row>
    <row r="572" ht="14.25" customHeight="1">
      <c r="A572" s="70"/>
      <c r="N572" s="70"/>
    </row>
    <row r="573" ht="14.25" customHeight="1">
      <c r="A573" s="70"/>
      <c r="N573" s="70"/>
    </row>
    <row r="574" ht="14.25" customHeight="1">
      <c r="A574" s="70"/>
      <c r="N574" s="70"/>
    </row>
    <row r="575" ht="14.25" customHeight="1">
      <c r="A575" s="70"/>
      <c r="N575" s="70"/>
    </row>
    <row r="576" ht="14.25" customHeight="1">
      <c r="A576" s="70"/>
      <c r="N576" s="70"/>
    </row>
    <row r="577" ht="14.25" customHeight="1">
      <c r="A577" s="70"/>
      <c r="N577" s="70"/>
    </row>
    <row r="578" ht="14.25" customHeight="1">
      <c r="A578" s="70"/>
      <c r="N578" s="70"/>
    </row>
    <row r="579" ht="14.25" customHeight="1">
      <c r="A579" s="70"/>
      <c r="N579" s="70"/>
    </row>
    <row r="580" ht="14.25" customHeight="1">
      <c r="A580" s="70"/>
      <c r="N580" s="70"/>
    </row>
    <row r="581" ht="14.25" customHeight="1">
      <c r="A581" s="70"/>
      <c r="N581" s="70"/>
    </row>
    <row r="582" ht="14.25" customHeight="1">
      <c r="A582" s="70"/>
      <c r="N582" s="70"/>
    </row>
    <row r="583" ht="14.25" customHeight="1">
      <c r="A583" s="70"/>
      <c r="N583" s="70"/>
    </row>
    <row r="584" ht="14.25" customHeight="1">
      <c r="A584" s="70"/>
      <c r="N584" s="70"/>
    </row>
    <row r="585" ht="14.25" customHeight="1">
      <c r="A585" s="70"/>
      <c r="N585" s="70"/>
    </row>
    <row r="586" ht="14.25" customHeight="1">
      <c r="A586" s="70"/>
      <c r="N586" s="70"/>
    </row>
    <row r="587" ht="14.25" customHeight="1">
      <c r="A587" s="70"/>
      <c r="N587" s="70"/>
    </row>
    <row r="588" ht="14.25" customHeight="1">
      <c r="A588" s="70"/>
      <c r="N588" s="70"/>
    </row>
    <row r="589" ht="14.25" customHeight="1">
      <c r="A589" s="70"/>
      <c r="N589" s="70"/>
    </row>
    <row r="590" ht="14.25" customHeight="1">
      <c r="A590" s="70"/>
      <c r="N590" s="70"/>
    </row>
    <row r="591" ht="14.25" customHeight="1">
      <c r="A591" s="70"/>
      <c r="N591" s="70"/>
    </row>
    <row r="592" ht="14.25" customHeight="1">
      <c r="A592" s="70"/>
      <c r="N592" s="70"/>
    </row>
    <row r="593" ht="14.25" customHeight="1">
      <c r="A593" s="70"/>
      <c r="N593" s="70"/>
    </row>
    <row r="594" ht="14.25" customHeight="1">
      <c r="A594" s="70"/>
      <c r="N594" s="70"/>
    </row>
    <row r="595" ht="14.25" customHeight="1">
      <c r="A595" s="70"/>
      <c r="N595" s="70"/>
    </row>
    <row r="596" ht="14.25" customHeight="1">
      <c r="A596" s="70"/>
      <c r="N596" s="70"/>
    </row>
    <row r="597" ht="14.25" customHeight="1">
      <c r="A597" s="70"/>
      <c r="N597" s="70"/>
    </row>
    <row r="598" ht="14.25" customHeight="1">
      <c r="A598" s="70"/>
      <c r="N598" s="70"/>
    </row>
    <row r="599" ht="14.25" customHeight="1">
      <c r="A599" s="70"/>
      <c r="N599" s="70"/>
    </row>
    <row r="600" ht="14.25" customHeight="1">
      <c r="A600" s="70"/>
      <c r="N600" s="70"/>
    </row>
    <row r="601" ht="14.25" customHeight="1">
      <c r="A601" s="70"/>
      <c r="N601" s="70"/>
    </row>
    <row r="602" ht="14.25" customHeight="1">
      <c r="A602" s="70"/>
      <c r="N602" s="70"/>
    </row>
    <row r="603" ht="14.25" customHeight="1">
      <c r="A603" s="70"/>
      <c r="N603" s="70"/>
    </row>
    <row r="604" ht="14.25" customHeight="1">
      <c r="A604" s="70"/>
      <c r="N604" s="70"/>
    </row>
    <row r="605" ht="14.25" customHeight="1">
      <c r="A605" s="70"/>
      <c r="N605" s="70"/>
    </row>
    <row r="606" ht="14.25" customHeight="1">
      <c r="A606" s="70"/>
      <c r="N606" s="70"/>
    </row>
    <row r="607" ht="14.25" customHeight="1">
      <c r="A607" s="70"/>
      <c r="N607" s="70"/>
    </row>
    <row r="608" ht="14.25" customHeight="1">
      <c r="A608" s="70"/>
      <c r="N608" s="70"/>
    </row>
    <row r="609" ht="14.25" customHeight="1">
      <c r="A609" s="70"/>
      <c r="N609" s="70"/>
    </row>
    <row r="610" ht="14.25" customHeight="1">
      <c r="A610" s="70"/>
      <c r="N610" s="70"/>
    </row>
    <row r="611" ht="14.25" customHeight="1">
      <c r="A611" s="70"/>
      <c r="N611" s="70"/>
    </row>
    <row r="612" ht="14.25" customHeight="1">
      <c r="A612" s="70"/>
      <c r="N612" s="70"/>
    </row>
    <row r="613" ht="14.25" customHeight="1">
      <c r="A613" s="70"/>
      <c r="N613" s="70"/>
    </row>
    <row r="614" ht="14.25" customHeight="1">
      <c r="A614" s="70"/>
      <c r="N614" s="70"/>
    </row>
    <row r="615" ht="14.25" customHeight="1">
      <c r="A615" s="70"/>
      <c r="N615" s="70"/>
    </row>
    <row r="616" ht="14.25" customHeight="1">
      <c r="A616" s="70"/>
      <c r="N616" s="70"/>
    </row>
    <row r="617" ht="14.25" customHeight="1">
      <c r="A617" s="70"/>
      <c r="N617" s="70"/>
    </row>
    <row r="618" ht="14.25" customHeight="1">
      <c r="A618" s="70"/>
      <c r="N618" s="70"/>
    </row>
    <row r="619" ht="14.25" customHeight="1">
      <c r="A619" s="70"/>
      <c r="N619" s="70"/>
    </row>
    <row r="620" ht="14.25" customHeight="1">
      <c r="A620" s="70"/>
      <c r="N620" s="70"/>
    </row>
    <row r="621" ht="14.25" customHeight="1">
      <c r="A621" s="70"/>
      <c r="N621" s="70"/>
    </row>
    <row r="622" ht="14.25" customHeight="1">
      <c r="A622" s="70"/>
      <c r="N622" s="70"/>
    </row>
    <row r="623" ht="14.25" customHeight="1">
      <c r="A623" s="70"/>
      <c r="N623" s="70"/>
    </row>
    <row r="624" ht="14.25" customHeight="1">
      <c r="A624" s="70"/>
      <c r="N624" s="70"/>
    </row>
    <row r="625" ht="14.25" customHeight="1">
      <c r="A625" s="70"/>
      <c r="N625" s="70"/>
    </row>
    <row r="626" ht="14.25" customHeight="1">
      <c r="A626" s="70"/>
      <c r="N626" s="70"/>
    </row>
    <row r="627" ht="14.25" customHeight="1">
      <c r="A627" s="70"/>
      <c r="N627" s="70"/>
    </row>
    <row r="628" ht="14.25" customHeight="1">
      <c r="A628" s="70"/>
      <c r="N628" s="70"/>
    </row>
    <row r="629" ht="14.25" customHeight="1">
      <c r="A629" s="70"/>
      <c r="N629" s="70"/>
    </row>
    <row r="630" ht="14.25" customHeight="1">
      <c r="A630" s="70"/>
      <c r="N630" s="70"/>
    </row>
    <row r="631" ht="14.25" customHeight="1">
      <c r="A631" s="70"/>
      <c r="N631" s="70"/>
    </row>
    <row r="632" ht="14.25" customHeight="1">
      <c r="A632" s="70"/>
      <c r="N632" s="70"/>
    </row>
    <row r="633" ht="14.25" customHeight="1">
      <c r="A633" s="70"/>
      <c r="N633" s="70"/>
    </row>
    <row r="634" ht="14.25" customHeight="1">
      <c r="A634" s="70"/>
      <c r="N634" s="70"/>
    </row>
    <row r="635" ht="14.25" customHeight="1">
      <c r="A635" s="70"/>
      <c r="N635" s="70"/>
    </row>
    <row r="636" ht="14.25" customHeight="1">
      <c r="A636" s="70"/>
      <c r="N636" s="70"/>
    </row>
    <row r="637" ht="14.25" customHeight="1">
      <c r="A637" s="70"/>
      <c r="N637" s="70"/>
    </row>
    <row r="638" ht="14.25" customHeight="1">
      <c r="A638" s="70"/>
      <c r="N638" s="70"/>
    </row>
    <row r="639" ht="14.25" customHeight="1">
      <c r="A639" s="70"/>
      <c r="N639" s="70"/>
    </row>
    <row r="640" ht="14.25" customHeight="1">
      <c r="A640" s="70"/>
      <c r="N640" s="70"/>
    </row>
    <row r="641" ht="14.25" customHeight="1">
      <c r="A641" s="70"/>
      <c r="N641" s="70"/>
    </row>
    <row r="642" ht="14.25" customHeight="1">
      <c r="A642" s="70"/>
      <c r="N642" s="70"/>
    </row>
    <row r="643" ht="14.25" customHeight="1">
      <c r="A643" s="70"/>
      <c r="N643" s="70"/>
    </row>
    <row r="644" ht="14.25" customHeight="1">
      <c r="A644" s="70"/>
      <c r="N644" s="70"/>
    </row>
    <row r="645" ht="14.25" customHeight="1">
      <c r="A645" s="70"/>
      <c r="N645" s="70"/>
    </row>
    <row r="646" ht="14.25" customHeight="1">
      <c r="A646" s="70"/>
      <c r="N646" s="70"/>
    </row>
    <row r="647" ht="14.25" customHeight="1">
      <c r="A647" s="70"/>
      <c r="N647" s="70"/>
    </row>
    <row r="648" ht="14.25" customHeight="1">
      <c r="A648" s="70"/>
      <c r="N648" s="70"/>
    </row>
    <row r="649" ht="14.25" customHeight="1">
      <c r="A649" s="70"/>
      <c r="N649" s="70"/>
    </row>
    <row r="650" ht="14.25" customHeight="1">
      <c r="A650" s="70"/>
      <c r="N650" s="70"/>
    </row>
    <row r="651" ht="14.25" customHeight="1">
      <c r="A651" s="70"/>
      <c r="N651" s="70"/>
    </row>
    <row r="652" ht="14.25" customHeight="1">
      <c r="A652" s="70"/>
      <c r="N652" s="70"/>
    </row>
    <row r="653" ht="14.25" customHeight="1">
      <c r="A653" s="70"/>
      <c r="N653" s="70"/>
    </row>
    <row r="654" ht="14.25" customHeight="1">
      <c r="A654" s="70"/>
      <c r="N654" s="70"/>
    </row>
    <row r="655" ht="14.25" customHeight="1">
      <c r="A655" s="70"/>
      <c r="N655" s="70"/>
    </row>
    <row r="656" ht="14.25" customHeight="1">
      <c r="A656" s="70"/>
      <c r="N656" s="70"/>
    </row>
    <row r="657" ht="14.25" customHeight="1">
      <c r="A657" s="70"/>
      <c r="N657" s="70"/>
    </row>
    <row r="658" ht="14.25" customHeight="1">
      <c r="A658" s="70"/>
      <c r="N658" s="70"/>
    </row>
    <row r="659" ht="14.25" customHeight="1">
      <c r="A659" s="70"/>
      <c r="N659" s="70"/>
    </row>
    <row r="660" ht="14.25" customHeight="1">
      <c r="A660" s="70"/>
      <c r="N660" s="70"/>
    </row>
    <row r="661" ht="14.25" customHeight="1">
      <c r="A661" s="70"/>
      <c r="N661" s="70"/>
    </row>
    <row r="662" ht="14.25" customHeight="1">
      <c r="A662" s="70"/>
      <c r="N662" s="70"/>
    </row>
    <row r="663" ht="14.25" customHeight="1">
      <c r="A663" s="70"/>
      <c r="N663" s="70"/>
    </row>
    <row r="664" ht="14.25" customHeight="1">
      <c r="A664" s="70"/>
      <c r="N664" s="70"/>
    </row>
    <row r="665" ht="14.25" customHeight="1">
      <c r="A665" s="70"/>
      <c r="N665" s="70"/>
    </row>
    <row r="666" ht="14.25" customHeight="1">
      <c r="A666" s="70"/>
      <c r="N666" s="70"/>
    </row>
    <row r="667" ht="14.25" customHeight="1">
      <c r="A667" s="70"/>
      <c r="N667" s="70"/>
    </row>
    <row r="668" ht="14.25" customHeight="1">
      <c r="A668" s="70"/>
      <c r="N668" s="70"/>
    </row>
    <row r="669" ht="14.25" customHeight="1">
      <c r="A669" s="70"/>
      <c r="N669" s="70"/>
    </row>
    <row r="670" ht="14.25" customHeight="1">
      <c r="A670" s="70"/>
      <c r="N670" s="70"/>
    </row>
    <row r="671" ht="14.25" customHeight="1">
      <c r="A671" s="70"/>
      <c r="N671" s="70"/>
    </row>
    <row r="672" ht="14.25" customHeight="1">
      <c r="A672" s="70"/>
      <c r="N672" s="70"/>
    </row>
    <row r="673" ht="14.25" customHeight="1">
      <c r="A673" s="70"/>
      <c r="N673" s="70"/>
    </row>
    <row r="674" ht="14.25" customHeight="1">
      <c r="A674" s="70"/>
      <c r="N674" s="70"/>
    </row>
    <row r="675" ht="14.25" customHeight="1">
      <c r="A675" s="70"/>
      <c r="N675" s="70"/>
    </row>
    <row r="676" ht="14.25" customHeight="1">
      <c r="A676" s="70"/>
      <c r="N676" s="70"/>
    </row>
    <row r="677" ht="14.25" customHeight="1">
      <c r="A677" s="70"/>
      <c r="N677" s="70"/>
    </row>
    <row r="678" ht="14.25" customHeight="1">
      <c r="A678" s="70"/>
      <c r="N678" s="70"/>
    </row>
    <row r="679" ht="14.25" customHeight="1">
      <c r="A679" s="70"/>
      <c r="N679" s="70"/>
    </row>
    <row r="680" ht="14.25" customHeight="1">
      <c r="A680" s="70"/>
      <c r="N680" s="70"/>
    </row>
    <row r="681" ht="14.25" customHeight="1">
      <c r="A681" s="70"/>
      <c r="N681" s="70"/>
    </row>
    <row r="682" ht="14.25" customHeight="1">
      <c r="A682" s="70"/>
      <c r="N682" s="70"/>
    </row>
    <row r="683" ht="14.25" customHeight="1">
      <c r="A683" s="70"/>
      <c r="N683" s="70"/>
    </row>
    <row r="684" ht="14.25" customHeight="1">
      <c r="A684" s="70"/>
      <c r="N684" s="70"/>
    </row>
    <row r="685" ht="14.25" customHeight="1">
      <c r="A685" s="70"/>
      <c r="N685" s="70"/>
    </row>
    <row r="686" ht="14.25" customHeight="1">
      <c r="A686" s="70"/>
      <c r="N686" s="70"/>
    </row>
    <row r="687" ht="14.25" customHeight="1">
      <c r="A687" s="70"/>
      <c r="N687" s="70"/>
    </row>
    <row r="688" ht="14.25" customHeight="1">
      <c r="A688" s="70"/>
      <c r="N688" s="70"/>
    </row>
    <row r="689" ht="14.25" customHeight="1">
      <c r="A689" s="70"/>
      <c r="N689" s="70"/>
    </row>
    <row r="690" ht="14.25" customHeight="1">
      <c r="A690" s="70"/>
      <c r="N690" s="70"/>
    </row>
    <row r="691" ht="14.25" customHeight="1">
      <c r="A691" s="70"/>
      <c r="N691" s="70"/>
    </row>
    <row r="692" ht="14.25" customHeight="1">
      <c r="A692" s="70"/>
      <c r="N692" s="70"/>
    </row>
    <row r="693" ht="14.25" customHeight="1">
      <c r="A693" s="70"/>
      <c r="N693" s="70"/>
    </row>
    <row r="694" ht="14.25" customHeight="1">
      <c r="A694" s="70"/>
      <c r="N694" s="70"/>
    </row>
    <row r="695" ht="14.25" customHeight="1">
      <c r="A695" s="70"/>
      <c r="N695" s="70"/>
    </row>
    <row r="696" ht="14.25" customHeight="1">
      <c r="A696" s="70"/>
      <c r="N696" s="70"/>
    </row>
    <row r="697" ht="14.25" customHeight="1">
      <c r="A697" s="70"/>
      <c r="N697" s="70"/>
    </row>
    <row r="698" ht="14.25" customHeight="1">
      <c r="A698" s="70"/>
      <c r="N698" s="70"/>
    </row>
    <row r="699" ht="14.25" customHeight="1">
      <c r="A699" s="70"/>
      <c r="N699" s="70"/>
    </row>
    <row r="700" ht="14.25" customHeight="1">
      <c r="A700" s="70"/>
      <c r="N700" s="70"/>
    </row>
    <row r="701" ht="14.25" customHeight="1">
      <c r="A701" s="70"/>
      <c r="N701" s="70"/>
    </row>
    <row r="702" ht="14.25" customHeight="1">
      <c r="A702" s="70"/>
      <c r="N702" s="70"/>
    </row>
    <row r="703" ht="14.25" customHeight="1">
      <c r="A703" s="70"/>
      <c r="N703" s="70"/>
    </row>
    <row r="704" ht="14.25" customHeight="1">
      <c r="A704" s="70"/>
      <c r="N704" s="70"/>
    </row>
    <row r="705" ht="14.25" customHeight="1">
      <c r="A705" s="70"/>
      <c r="N705" s="70"/>
    </row>
    <row r="706" ht="14.25" customHeight="1">
      <c r="A706" s="70"/>
      <c r="N706" s="70"/>
    </row>
    <row r="707" ht="14.25" customHeight="1">
      <c r="A707" s="70"/>
      <c r="N707" s="70"/>
    </row>
    <row r="708" ht="14.25" customHeight="1">
      <c r="A708" s="70"/>
      <c r="N708" s="70"/>
    </row>
    <row r="709" ht="14.25" customHeight="1">
      <c r="A709" s="70"/>
      <c r="N709" s="70"/>
    </row>
    <row r="710" ht="14.25" customHeight="1">
      <c r="A710" s="70"/>
      <c r="N710" s="70"/>
    </row>
    <row r="711" ht="14.25" customHeight="1">
      <c r="A711" s="70"/>
      <c r="N711" s="70"/>
    </row>
    <row r="712" ht="14.25" customHeight="1">
      <c r="A712" s="70"/>
      <c r="N712" s="70"/>
    </row>
    <row r="713" ht="14.25" customHeight="1">
      <c r="A713" s="70"/>
      <c r="N713" s="70"/>
    </row>
    <row r="714" ht="14.25" customHeight="1">
      <c r="A714" s="70"/>
      <c r="N714" s="70"/>
    </row>
    <row r="715" ht="14.25" customHeight="1">
      <c r="A715" s="70"/>
      <c r="N715" s="70"/>
    </row>
    <row r="716" ht="14.25" customHeight="1">
      <c r="A716" s="70"/>
      <c r="N716" s="70"/>
    </row>
    <row r="717" ht="14.25" customHeight="1">
      <c r="A717" s="70"/>
      <c r="N717" s="70"/>
    </row>
    <row r="718" ht="14.25" customHeight="1">
      <c r="A718" s="70"/>
      <c r="N718" s="70"/>
    </row>
    <row r="719" ht="14.25" customHeight="1">
      <c r="A719" s="70"/>
      <c r="N719" s="70"/>
    </row>
    <row r="720" ht="14.25" customHeight="1">
      <c r="A720" s="70"/>
      <c r="N720" s="70"/>
    </row>
    <row r="721" ht="14.25" customHeight="1">
      <c r="A721" s="70"/>
      <c r="N721" s="70"/>
    </row>
    <row r="722" ht="14.25" customHeight="1">
      <c r="A722" s="70"/>
      <c r="N722" s="70"/>
    </row>
    <row r="723" ht="14.25" customHeight="1">
      <c r="A723" s="70"/>
      <c r="N723" s="70"/>
    </row>
    <row r="724" ht="14.25" customHeight="1">
      <c r="A724" s="70"/>
      <c r="N724" s="70"/>
    </row>
    <row r="725" ht="14.25" customHeight="1">
      <c r="A725" s="70"/>
      <c r="N725" s="70"/>
    </row>
    <row r="726" ht="14.25" customHeight="1">
      <c r="A726" s="70"/>
      <c r="N726" s="70"/>
    </row>
    <row r="727" ht="14.25" customHeight="1">
      <c r="A727" s="70"/>
      <c r="N727" s="70"/>
    </row>
    <row r="728" ht="14.25" customHeight="1">
      <c r="A728" s="70"/>
      <c r="N728" s="70"/>
    </row>
    <row r="729" ht="14.25" customHeight="1">
      <c r="A729" s="70"/>
      <c r="N729" s="70"/>
    </row>
    <row r="730" ht="14.25" customHeight="1">
      <c r="A730" s="70"/>
      <c r="N730" s="70"/>
    </row>
    <row r="731" ht="14.25" customHeight="1">
      <c r="A731" s="70"/>
      <c r="N731" s="70"/>
    </row>
    <row r="732" ht="14.25" customHeight="1">
      <c r="A732" s="70"/>
      <c r="N732" s="70"/>
    </row>
    <row r="733" ht="14.25" customHeight="1">
      <c r="A733" s="70"/>
      <c r="N733" s="70"/>
    </row>
    <row r="734" ht="14.25" customHeight="1">
      <c r="A734" s="70"/>
      <c r="N734" s="70"/>
    </row>
    <row r="735" ht="14.25" customHeight="1">
      <c r="A735" s="70"/>
      <c r="N735" s="70"/>
    </row>
    <row r="736" ht="14.25" customHeight="1">
      <c r="A736" s="70"/>
      <c r="N736" s="70"/>
    </row>
    <row r="737" ht="14.25" customHeight="1">
      <c r="A737" s="70"/>
      <c r="N737" s="70"/>
    </row>
    <row r="738" ht="14.25" customHeight="1">
      <c r="A738" s="70"/>
      <c r="N738" s="70"/>
    </row>
    <row r="739" ht="14.25" customHeight="1">
      <c r="A739" s="70"/>
      <c r="N739" s="70"/>
    </row>
    <row r="740" ht="14.25" customHeight="1">
      <c r="A740" s="70"/>
      <c r="N740" s="70"/>
    </row>
    <row r="741" ht="14.25" customHeight="1">
      <c r="A741" s="70"/>
      <c r="N741" s="70"/>
    </row>
    <row r="742" ht="14.25" customHeight="1">
      <c r="A742" s="70"/>
      <c r="N742" s="70"/>
    </row>
    <row r="743" ht="14.25" customHeight="1">
      <c r="A743" s="70"/>
      <c r="N743" s="70"/>
    </row>
    <row r="744" ht="14.25" customHeight="1">
      <c r="A744" s="70"/>
      <c r="N744" s="70"/>
    </row>
    <row r="745" ht="14.25" customHeight="1">
      <c r="A745" s="70"/>
      <c r="N745" s="70"/>
    </row>
    <row r="746" ht="14.25" customHeight="1">
      <c r="A746" s="70"/>
      <c r="N746" s="70"/>
    </row>
    <row r="747" ht="14.25" customHeight="1">
      <c r="A747" s="70"/>
      <c r="N747" s="70"/>
    </row>
    <row r="748" ht="14.25" customHeight="1">
      <c r="A748" s="70"/>
      <c r="N748" s="70"/>
    </row>
    <row r="749" ht="14.25" customHeight="1">
      <c r="A749" s="70"/>
      <c r="N749" s="70"/>
    </row>
    <row r="750" ht="14.25" customHeight="1">
      <c r="A750" s="70"/>
      <c r="N750" s="70"/>
    </row>
    <row r="751" ht="14.25" customHeight="1">
      <c r="A751" s="70"/>
      <c r="N751" s="70"/>
    </row>
    <row r="752" ht="14.25" customHeight="1">
      <c r="A752" s="70"/>
      <c r="N752" s="70"/>
    </row>
    <row r="753" ht="14.25" customHeight="1">
      <c r="A753" s="70"/>
      <c r="N753" s="70"/>
    </row>
    <row r="754" ht="14.25" customHeight="1">
      <c r="A754" s="70"/>
      <c r="N754" s="70"/>
    </row>
    <row r="755" ht="14.25" customHeight="1">
      <c r="A755" s="70"/>
      <c r="N755" s="70"/>
    </row>
    <row r="756" ht="14.25" customHeight="1">
      <c r="A756" s="70"/>
      <c r="N756" s="70"/>
    </row>
    <row r="757" ht="14.25" customHeight="1">
      <c r="A757" s="70"/>
      <c r="N757" s="70"/>
    </row>
    <row r="758" ht="14.25" customHeight="1">
      <c r="A758" s="70"/>
      <c r="N758" s="70"/>
    </row>
    <row r="759" ht="14.25" customHeight="1">
      <c r="A759" s="70"/>
      <c r="N759" s="70"/>
    </row>
    <row r="760" ht="14.25" customHeight="1">
      <c r="A760" s="70"/>
      <c r="N760" s="70"/>
    </row>
    <row r="761" ht="14.25" customHeight="1">
      <c r="A761" s="70"/>
      <c r="N761" s="70"/>
    </row>
    <row r="762" ht="14.25" customHeight="1">
      <c r="A762" s="70"/>
      <c r="N762" s="70"/>
    </row>
    <row r="763" ht="14.25" customHeight="1">
      <c r="A763" s="70"/>
      <c r="N763" s="70"/>
    </row>
    <row r="764" ht="14.25" customHeight="1">
      <c r="A764" s="70"/>
      <c r="N764" s="70"/>
    </row>
    <row r="765" ht="14.25" customHeight="1">
      <c r="A765" s="70"/>
      <c r="N765" s="70"/>
    </row>
    <row r="766" ht="14.25" customHeight="1">
      <c r="A766" s="70"/>
      <c r="N766" s="70"/>
    </row>
    <row r="767" ht="14.25" customHeight="1">
      <c r="A767" s="70"/>
      <c r="N767" s="70"/>
    </row>
    <row r="768" ht="14.25" customHeight="1">
      <c r="A768" s="70"/>
      <c r="N768" s="70"/>
    </row>
    <row r="769" ht="14.25" customHeight="1">
      <c r="A769" s="70"/>
      <c r="N769" s="70"/>
    </row>
    <row r="770" ht="14.25" customHeight="1">
      <c r="A770" s="70"/>
      <c r="N770" s="70"/>
    </row>
    <row r="771" ht="14.25" customHeight="1">
      <c r="A771" s="70"/>
      <c r="N771" s="70"/>
    </row>
    <row r="772" ht="14.25" customHeight="1">
      <c r="A772" s="70"/>
      <c r="N772" s="70"/>
    </row>
    <row r="773" ht="14.25" customHeight="1">
      <c r="A773" s="70"/>
      <c r="N773" s="70"/>
    </row>
    <row r="774" ht="14.25" customHeight="1">
      <c r="A774" s="70"/>
      <c r="N774" s="70"/>
    </row>
    <row r="775" ht="14.25" customHeight="1">
      <c r="A775" s="70"/>
      <c r="N775" s="70"/>
    </row>
    <row r="776" ht="14.25" customHeight="1">
      <c r="A776" s="70"/>
      <c r="N776" s="70"/>
    </row>
    <row r="777" ht="14.25" customHeight="1">
      <c r="A777" s="70"/>
      <c r="N777" s="70"/>
    </row>
    <row r="778" ht="14.25" customHeight="1">
      <c r="A778" s="70"/>
      <c r="N778" s="70"/>
    </row>
    <row r="779" ht="14.25" customHeight="1">
      <c r="A779" s="70"/>
      <c r="N779" s="70"/>
    </row>
    <row r="780" ht="14.25" customHeight="1">
      <c r="A780" s="70"/>
      <c r="N780" s="70"/>
    </row>
    <row r="781" ht="14.25" customHeight="1">
      <c r="A781" s="70"/>
      <c r="N781" s="70"/>
    </row>
    <row r="782" ht="14.25" customHeight="1">
      <c r="A782" s="70"/>
      <c r="N782" s="70"/>
    </row>
    <row r="783" ht="14.25" customHeight="1">
      <c r="A783" s="70"/>
      <c r="N783" s="70"/>
    </row>
    <row r="784" ht="14.25" customHeight="1">
      <c r="A784" s="70"/>
      <c r="N784" s="70"/>
    </row>
    <row r="785" ht="14.25" customHeight="1">
      <c r="A785" s="70"/>
      <c r="N785" s="70"/>
    </row>
    <row r="786" ht="14.25" customHeight="1">
      <c r="A786" s="70"/>
      <c r="N786" s="70"/>
    </row>
    <row r="787" ht="14.25" customHeight="1">
      <c r="A787" s="70"/>
      <c r="N787" s="70"/>
    </row>
    <row r="788" ht="14.25" customHeight="1">
      <c r="A788" s="70"/>
      <c r="N788" s="70"/>
    </row>
    <row r="789" ht="14.25" customHeight="1">
      <c r="A789" s="70"/>
      <c r="N789" s="70"/>
    </row>
    <row r="790" ht="14.25" customHeight="1">
      <c r="A790" s="70"/>
      <c r="N790" s="70"/>
    </row>
    <row r="791" ht="14.25" customHeight="1">
      <c r="A791" s="70"/>
      <c r="N791" s="70"/>
    </row>
    <row r="792" ht="14.25" customHeight="1">
      <c r="A792" s="70"/>
      <c r="N792" s="70"/>
    </row>
    <row r="793" ht="14.25" customHeight="1">
      <c r="A793" s="70"/>
      <c r="N793" s="70"/>
    </row>
    <row r="794" ht="14.25" customHeight="1">
      <c r="A794" s="70"/>
      <c r="N794" s="70"/>
    </row>
    <row r="795" ht="14.25" customHeight="1">
      <c r="A795" s="70"/>
      <c r="N795" s="70"/>
    </row>
    <row r="796" ht="14.25" customHeight="1">
      <c r="A796" s="70"/>
      <c r="N796" s="70"/>
    </row>
    <row r="797" ht="14.25" customHeight="1">
      <c r="A797" s="70"/>
      <c r="N797" s="70"/>
    </row>
    <row r="798" ht="14.25" customHeight="1">
      <c r="A798" s="70"/>
      <c r="N798" s="70"/>
    </row>
    <row r="799" ht="14.25" customHeight="1">
      <c r="A799" s="70"/>
      <c r="N799" s="70"/>
    </row>
    <row r="800" ht="14.25" customHeight="1">
      <c r="A800" s="70"/>
      <c r="N800" s="70"/>
    </row>
    <row r="801" ht="14.25" customHeight="1">
      <c r="A801" s="70"/>
      <c r="N801" s="70"/>
    </row>
    <row r="802" ht="14.25" customHeight="1">
      <c r="A802" s="70"/>
      <c r="N802" s="70"/>
    </row>
    <row r="803" ht="14.25" customHeight="1">
      <c r="A803" s="70"/>
      <c r="N803" s="70"/>
    </row>
    <row r="804" ht="14.25" customHeight="1">
      <c r="A804" s="70"/>
      <c r="N804" s="70"/>
    </row>
    <row r="805" ht="14.25" customHeight="1">
      <c r="A805" s="70"/>
      <c r="N805" s="70"/>
    </row>
    <row r="806" ht="14.25" customHeight="1">
      <c r="A806" s="70"/>
      <c r="N806" s="70"/>
    </row>
    <row r="807" ht="14.25" customHeight="1">
      <c r="A807" s="70"/>
      <c r="N807" s="70"/>
    </row>
    <row r="808" ht="14.25" customHeight="1">
      <c r="A808" s="70"/>
      <c r="N808" s="70"/>
    </row>
    <row r="809" ht="14.25" customHeight="1">
      <c r="A809" s="70"/>
      <c r="N809" s="70"/>
    </row>
    <row r="810" ht="14.25" customHeight="1">
      <c r="A810" s="70"/>
      <c r="N810" s="70"/>
    </row>
    <row r="811" ht="14.25" customHeight="1">
      <c r="A811" s="70"/>
      <c r="N811" s="70"/>
    </row>
    <row r="812" ht="14.25" customHeight="1">
      <c r="A812" s="70"/>
      <c r="N812" s="70"/>
    </row>
    <row r="813" ht="14.25" customHeight="1">
      <c r="A813" s="70"/>
      <c r="N813" s="70"/>
    </row>
    <row r="814" ht="14.25" customHeight="1">
      <c r="A814" s="70"/>
      <c r="N814" s="70"/>
    </row>
    <row r="815" ht="14.25" customHeight="1">
      <c r="A815" s="70"/>
      <c r="N815" s="70"/>
    </row>
    <row r="816" ht="14.25" customHeight="1">
      <c r="A816" s="70"/>
      <c r="N816" s="70"/>
    </row>
    <row r="817" ht="14.25" customHeight="1">
      <c r="A817" s="70"/>
      <c r="N817" s="70"/>
    </row>
    <row r="818" ht="14.25" customHeight="1">
      <c r="A818" s="70"/>
      <c r="N818" s="70"/>
    </row>
    <row r="819" ht="14.25" customHeight="1">
      <c r="A819" s="70"/>
      <c r="N819" s="70"/>
    </row>
    <row r="820" ht="14.25" customHeight="1">
      <c r="A820" s="70"/>
      <c r="N820" s="70"/>
    </row>
    <row r="821" ht="14.25" customHeight="1">
      <c r="A821" s="70"/>
      <c r="N821" s="70"/>
    </row>
    <row r="822" ht="14.25" customHeight="1">
      <c r="A822" s="70"/>
      <c r="N822" s="70"/>
    </row>
    <row r="823" ht="14.25" customHeight="1">
      <c r="A823" s="70"/>
      <c r="N823" s="70"/>
    </row>
    <row r="824" ht="14.25" customHeight="1">
      <c r="A824" s="70"/>
      <c r="N824" s="70"/>
    </row>
    <row r="825" ht="14.25" customHeight="1">
      <c r="A825" s="70"/>
      <c r="N825" s="70"/>
    </row>
    <row r="826" ht="14.25" customHeight="1">
      <c r="A826" s="70"/>
      <c r="N826" s="70"/>
    </row>
    <row r="827" ht="14.25" customHeight="1">
      <c r="A827" s="70"/>
      <c r="N827" s="70"/>
    </row>
    <row r="828" ht="14.25" customHeight="1">
      <c r="A828" s="70"/>
      <c r="N828" s="70"/>
    </row>
    <row r="829" ht="14.25" customHeight="1">
      <c r="A829" s="70"/>
      <c r="N829" s="70"/>
    </row>
    <row r="830" ht="14.25" customHeight="1">
      <c r="A830" s="70"/>
      <c r="N830" s="70"/>
    </row>
    <row r="831" ht="14.25" customHeight="1">
      <c r="A831" s="70"/>
      <c r="N831" s="70"/>
    </row>
    <row r="832" ht="14.25" customHeight="1">
      <c r="A832" s="70"/>
      <c r="N832" s="70"/>
    </row>
    <row r="833" ht="14.25" customHeight="1">
      <c r="A833" s="70"/>
      <c r="N833" s="70"/>
    </row>
    <row r="834" ht="14.25" customHeight="1">
      <c r="A834" s="70"/>
      <c r="N834" s="70"/>
    </row>
    <row r="835" ht="14.25" customHeight="1">
      <c r="A835" s="70"/>
      <c r="N835" s="70"/>
    </row>
    <row r="836" ht="14.25" customHeight="1">
      <c r="A836" s="70"/>
      <c r="N836" s="70"/>
    </row>
    <row r="837" ht="14.25" customHeight="1">
      <c r="A837" s="70"/>
      <c r="N837" s="70"/>
    </row>
    <row r="838" ht="14.25" customHeight="1">
      <c r="A838" s="70"/>
      <c r="N838" s="70"/>
    </row>
    <row r="839" ht="14.25" customHeight="1">
      <c r="A839" s="70"/>
      <c r="N839" s="70"/>
    </row>
    <row r="840" ht="14.25" customHeight="1">
      <c r="A840" s="70"/>
      <c r="N840" s="70"/>
    </row>
    <row r="841" ht="14.25" customHeight="1">
      <c r="A841" s="70"/>
      <c r="N841" s="70"/>
    </row>
    <row r="842" ht="14.25" customHeight="1">
      <c r="A842" s="70"/>
      <c r="N842" s="70"/>
    </row>
    <row r="843" ht="14.25" customHeight="1">
      <c r="A843" s="70"/>
      <c r="N843" s="70"/>
    </row>
    <row r="844" ht="14.25" customHeight="1">
      <c r="A844" s="70"/>
      <c r="N844" s="70"/>
    </row>
    <row r="845" ht="14.25" customHeight="1">
      <c r="A845" s="70"/>
      <c r="N845" s="70"/>
    </row>
    <row r="846" ht="14.25" customHeight="1">
      <c r="A846" s="70"/>
      <c r="N846" s="70"/>
    </row>
    <row r="847" ht="14.25" customHeight="1">
      <c r="A847" s="70"/>
      <c r="N847" s="70"/>
    </row>
    <row r="848" ht="14.25" customHeight="1">
      <c r="A848" s="70"/>
      <c r="N848" s="70"/>
    </row>
    <row r="849" ht="14.25" customHeight="1">
      <c r="A849" s="70"/>
      <c r="N849" s="70"/>
    </row>
    <row r="850" ht="14.25" customHeight="1">
      <c r="A850" s="70"/>
      <c r="N850" s="70"/>
    </row>
    <row r="851" ht="14.25" customHeight="1">
      <c r="A851" s="70"/>
      <c r="N851" s="70"/>
    </row>
    <row r="852" ht="14.25" customHeight="1">
      <c r="A852" s="70"/>
      <c r="N852" s="70"/>
    </row>
    <row r="853" ht="14.25" customHeight="1">
      <c r="A853" s="70"/>
      <c r="N853" s="70"/>
    </row>
    <row r="854" ht="14.25" customHeight="1">
      <c r="A854" s="70"/>
      <c r="N854" s="70"/>
    </row>
    <row r="855" ht="14.25" customHeight="1">
      <c r="A855" s="70"/>
      <c r="N855" s="70"/>
    </row>
    <row r="856" ht="14.25" customHeight="1">
      <c r="A856" s="70"/>
      <c r="N856" s="70"/>
    </row>
    <row r="857" ht="14.25" customHeight="1">
      <c r="A857" s="70"/>
      <c r="N857" s="70"/>
    </row>
    <row r="858" ht="14.25" customHeight="1">
      <c r="A858" s="70"/>
      <c r="N858" s="70"/>
    </row>
    <row r="859" ht="14.25" customHeight="1">
      <c r="A859" s="70"/>
      <c r="N859" s="70"/>
    </row>
    <row r="860" ht="14.25" customHeight="1">
      <c r="A860" s="70"/>
      <c r="N860" s="70"/>
    </row>
    <row r="861" ht="14.25" customHeight="1">
      <c r="A861" s="70"/>
      <c r="N861" s="70"/>
    </row>
    <row r="862" ht="14.25" customHeight="1">
      <c r="A862" s="70"/>
      <c r="N862" s="70"/>
    </row>
    <row r="863" ht="14.25" customHeight="1">
      <c r="A863" s="70"/>
      <c r="N863" s="70"/>
    </row>
    <row r="864" ht="14.25" customHeight="1">
      <c r="A864" s="70"/>
      <c r="N864" s="70"/>
    </row>
    <row r="865" ht="14.25" customHeight="1">
      <c r="A865" s="70"/>
      <c r="N865" s="70"/>
    </row>
    <row r="866" ht="14.25" customHeight="1">
      <c r="A866" s="70"/>
      <c r="N866" s="70"/>
    </row>
    <row r="867" ht="14.25" customHeight="1">
      <c r="A867" s="70"/>
      <c r="N867" s="70"/>
    </row>
    <row r="868" ht="14.25" customHeight="1">
      <c r="A868" s="70"/>
      <c r="N868" s="70"/>
    </row>
    <row r="869" ht="14.25" customHeight="1">
      <c r="A869" s="70"/>
      <c r="N869" s="70"/>
    </row>
    <row r="870" ht="14.25" customHeight="1">
      <c r="A870" s="70"/>
      <c r="N870" s="70"/>
    </row>
    <row r="871" ht="14.25" customHeight="1">
      <c r="A871" s="70"/>
      <c r="N871" s="70"/>
    </row>
    <row r="872" ht="14.25" customHeight="1">
      <c r="A872" s="70"/>
      <c r="N872" s="70"/>
    </row>
    <row r="873" ht="14.25" customHeight="1">
      <c r="A873" s="70"/>
      <c r="N873" s="70"/>
    </row>
    <row r="874" ht="14.25" customHeight="1">
      <c r="A874" s="70"/>
      <c r="N874" s="70"/>
    </row>
    <row r="875" ht="14.25" customHeight="1">
      <c r="A875" s="70"/>
      <c r="N875" s="70"/>
    </row>
    <row r="876" ht="14.25" customHeight="1">
      <c r="A876" s="70"/>
      <c r="N876" s="70"/>
    </row>
    <row r="877" ht="14.25" customHeight="1">
      <c r="A877" s="70"/>
      <c r="N877" s="70"/>
    </row>
    <row r="878" ht="14.25" customHeight="1">
      <c r="A878" s="70"/>
      <c r="N878" s="70"/>
    </row>
    <row r="879" ht="14.25" customHeight="1">
      <c r="A879" s="70"/>
      <c r="N879" s="70"/>
    </row>
    <row r="880" ht="14.25" customHeight="1">
      <c r="A880" s="70"/>
      <c r="N880" s="70"/>
    </row>
    <row r="881" ht="14.25" customHeight="1">
      <c r="A881" s="70"/>
      <c r="N881" s="70"/>
    </row>
    <row r="882" ht="14.25" customHeight="1">
      <c r="A882" s="70"/>
      <c r="N882" s="70"/>
    </row>
    <row r="883" ht="14.25" customHeight="1">
      <c r="A883" s="70"/>
      <c r="N883" s="70"/>
    </row>
    <row r="884" ht="14.25" customHeight="1">
      <c r="A884" s="70"/>
      <c r="N884" s="70"/>
    </row>
    <row r="885" ht="14.25" customHeight="1">
      <c r="A885" s="70"/>
      <c r="N885" s="70"/>
    </row>
    <row r="886" ht="14.25" customHeight="1">
      <c r="A886" s="70"/>
      <c r="N886" s="70"/>
    </row>
    <row r="887" ht="14.25" customHeight="1">
      <c r="A887" s="70"/>
      <c r="N887" s="70"/>
    </row>
    <row r="888" ht="14.25" customHeight="1">
      <c r="A888" s="70"/>
      <c r="N888" s="70"/>
    </row>
    <row r="889" ht="14.25" customHeight="1">
      <c r="A889" s="70"/>
      <c r="N889" s="70"/>
    </row>
    <row r="890" ht="14.25" customHeight="1">
      <c r="A890" s="70"/>
      <c r="N890" s="70"/>
    </row>
    <row r="891" ht="14.25" customHeight="1">
      <c r="A891" s="70"/>
      <c r="N891" s="70"/>
    </row>
    <row r="892" ht="14.25" customHeight="1">
      <c r="A892" s="70"/>
      <c r="N892" s="70"/>
    </row>
    <row r="893" ht="14.25" customHeight="1">
      <c r="A893" s="70"/>
      <c r="N893" s="70"/>
    </row>
    <row r="894" ht="14.25" customHeight="1">
      <c r="A894" s="70"/>
      <c r="N894" s="70"/>
    </row>
    <row r="895" ht="14.25" customHeight="1">
      <c r="A895" s="70"/>
      <c r="N895" s="70"/>
    </row>
    <row r="896" ht="14.25" customHeight="1">
      <c r="A896" s="70"/>
      <c r="N896" s="70"/>
    </row>
    <row r="897" ht="14.25" customHeight="1">
      <c r="A897" s="70"/>
      <c r="N897" s="70"/>
    </row>
    <row r="898" ht="14.25" customHeight="1">
      <c r="A898" s="70"/>
      <c r="N898" s="70"/>
    </row>
    <row r="899" ht="14.25" customHeight="1">
      <c r="A899" s="70"/>
      <c r="N899" s="70"/>
    </row>
    <row r="900" ht="14.25" customHeight="1">
      <c r="A900" s="70"/>
      <c r="N900" s="70"/>
    </row>
    <row r="901" ht="14.25" customHeight="1">
      <c r="A901" s="70"/>
      <c r="N901" s="70"/>
    </row>
    <row r="902" ht="14.25" customHeight="1">
      <c r="A902" s="70"/>
      <c r="N902" s="70"/>
    </row>
    <row r="903" ht="14.25" customHeight="1">
      <c r="A903" s="70"/>
      <c r="N903" s="70"/>
    </row>
    <row r="904" ht="14.25" customHeight="1">
      <c r="A904" s="70"/>
      <c r="N904" s="70"/>
    </row>
    <row r="905" ht="14.25" customHeight="1">
      <c r="A905" s="70"/>
      <c r="N905" s="70"/>
    </row>
    <row r="906" ht="14.25" customHeight="1">
      <c r="A906" s="70"/>
      <c r="N906" s="70"/>
    </row>
    <row r="907" ht="14.25" customHeight="1">
      <c r="A907" s="70"/>
      <c r="N907" s="70"/>
    </row>
    <row r="908" ht="14.25" customHeight="1">
      <c r="A908" s="70"/>
      <c r="N908" s="70"/>
    </row>
    <row r="909" ht="14.25" customHeight="1">
      <c r="A909" s="70"/>
      <c r="N909" s="70"/>
    </row>
    <row r="910" ht="14.25" customHeight="1">
      <c r="A910" s="70"/>
      <c r="N910" s="70"/>
    </row>
    <row r="911" ht="14.25" customHeight="1">
      <c r="A911" s="70"/>
      <c r="N911" s="70"/>
    </row>
    <row r="912" ht="14.25" customHeight="1">
      <c r="A912" s="70"/>
      <c r="N912" s="70"/>
    </row>
    <row r="913" ht="14.25" customHeight="1">
      <c r="A913" s="70"/>
      <c r="N913" s="70"/>
    </row>
    <row r="914" ht="14.25" customHeight="1">
      <c r="A914" s="70"/>
      <c r="N914" s="70"/>
    </row>
    <row r="915" ht="14.25" customHeight="1">
      <c r="A915" s="70"/>
      <c r="N915" s="70"/>
    </row>
    <row r="916" ht="14.25" customHeight="1">
      <c r="A916" s="70"/>
      <c r="N916" s="70"/>
    </row>
    <row r="917" ht="14.25" customHeight="1">
      <c r="A917" s="70"/>
      <c r="N917" s="70"/>
    </row>
    <row r="918" ht="14.25" customHeight="1">
      <c r="A918" s="70"/>
      <c r="N918" s="70"/>
    </row>
    <row r="919" ht="14.25" customHeight="1">
      <c r="A919" s="70"/>
      <c r="N919" s="70"/>
    </row>
    <row r="920" ht="14.25" customHeight="1">
      <c r="A920" s="70"/>
      <c r="N920" s="70"/>
    </row>
    <row r="921" ht="14.25" customHeight="1">
      <c r="A921" s="70"/>
      <c r="N921" s="70"/>
    </row>
    <row r="922" ht="14.25" customHeight="1">
      <c r="A922" s="70"/>
      <c r="N922" s="70"/>
    </row>
    <row r="923" ht="14.25" customHeight="1">
      <c r="A923" s="70"/>
      <c r="N923" s="70"/>
    </row>
    <row r="924" ht="14.25" customHeight="1">
      <c r="A924" s="70"/>
      <c r="N924" s="70"/>
    </row>
    <row r="925" ht="14.25" customHeight="1">
      <c r="A925" s="70"/>
      <c r="N925" s="70"/>
    </row>
    <row r="926" ht="14.25" customHeight="1">
      <c r="A926" s="70"/>
      <c r="N926" s="70"/>
    </row>
    <row r="927" ht="14.25" customHeight="1">
      <c r="A927" s="70"/>
      <c r="N927" s="70"/>
    </row>
    <row r="928" ht="14.25" customHeight="1">
      <c r="A928" s="70"/>
      <c r="N928" s="70"/>
    </row>
    <row r="929" ht="14.25" customHeight="1">
      <c r="A929" s="70"/>
      <c r="N929" s="70"/>
    </row>
    <row r="930" ht="14.25" customHeight="1">
      <c r="A930" s="70"/>
      <c r="N930" s="70"/>
    </row>
    <row r="931" ht="14.25" customHeight="1">
      <c r="A931" s="70"/>
      <c r="N931" s="70"/>
    </row>
    <row r="932" ht="14.25" customHeight="1">
      <c r="A932" s="70"/>
      <c r="N932" s="70"/>
    </row>
    <row r="933" ht="14.25" customHeight="1">
      <c r="A933" s="70"/>
      <c r="N933" s="70"/>
    </row>
    <row r="934" ht="14.25" customHeight="1">
      <c r="A934" s="70"/>
      <c r="N934" s="70"/>
    </row>
    <row r="935" ht="14.25" customHeight="1">
      <c r="A935" s="70"/>
      <c r="N935" s="70"/>
    </row>
    <row r="936" ht="14.25" customHeight="1">
      <c r="A936" s="70"/>
      <c r="N936" s="70"/>
    </row>
    <row r="937" ht="14.25" customHeight="1">
      <c r="A937" s="70"/>
      <c r="N937" s="70"/>
    </row>
    <row r="938" ht="14.25" customHeight="1">
      <c r="A938" s="70"/>
      <c r="N938" s="70"/>
    </row>
    <row r="939" ht="14.25" customHeight="1">
      <c r="A939" s="70"/>
      <c r="N939" s="70"/>
    </row>
    <row r="940" ht="14.25" customHeight="1">
      <c r="A940" s="70"/>
      <c r="N940" s="70"/>
    </row>
    <row r="941" ht="14.25" customHeight="1">
      <c r="A941" s="70"/>
      <c r="N941" s="70"/>
    </row>
    <row r="942" ht="14.25" customHeight="1">
      <c r="A942" s="70"/>
      <c r="N942" s="70"/>
    </row>
    <row r="943" ht="14.25" customHeight="1">
      <c r="A943" s="70"/>
      <c r="N943" s="70"/>
    </row>
    <row r="944" ht="14.25" customHeight="1">
      <c r="A944" s="70"/>
      <c r="N944" s="70"/>
    </row>
    <row r="945" ht="14.25" customHeight="1">
      <c r="A945" s="70"/>
      <c r="N945" s="70"/>
    </row>
    <row r="946" ht="14.25" customHeight="1">
      <c r="A946" s="70"/>
      <c r="N946" s="70"/>
    </row>
    <row r="947" ht="14.25" customHeight="1">
      <c r="A947" s="70"/>
      <c r="N947" s="70"/>
    </row>
    <row r="948" ht="14.25" customHeight="1">
      <c r="A948" s="70"/>
      <c r="N948" s="70"/>
    </row>
    <row r="949" ht="14.25" customHeight="1">
      <c r="A949" s="70"/>
      <c r="N949" s="70"/>
    </row>
    <row r="950" ht="14.25" customHeight="1">
      <c r="A950" s="70"/>
      <c r="N950" s="70"/>
    </row>
    <row r="951" ht="14.25" customHeight="1">
      <c r="A951" s="70"/>
      <c r="N951" s="70"/>
    </row>
    <row r="952" ht="14.25" customHeight="1">
      <c r="A952" s="70"/>
      <c r="N952" s="70"/>
    </row>
    <row r="953" ht="14.25" customHeight="1">
      <c r="A953" s="70"/>
      <c r="N953" s="70"/>
    </row>
    <row r="954" ht="14.25" customHeight="1">
      <c r="A954" s="70"/>
      <c r="N954" s="70"/>
    </row>
    <row r="955" ht="14.25" customHeight="1">
      <c r="A955" s="70"/>
      <c r="N955" s="70"/>
    </row>
    <row r="956" ht="14.25" customHeight="1">
      <c r="A956" s="70"/>
      <c r="N956" s="70"/>
    </row>
    <row r="957" ht="14.25" customHeight="1">
      <c r="A957" s="70"/>
      <c r="N957" s="70"/>
    </row>
    <row r="958" ht="14.25" customHeight="1">
      <c r="A958" s="70"/>
      <c r="N958" s="70"/>
    </row>
    <row r="959" ht="14.25" customHeight="1">
      <c r="A959" s="70"/>
      <c r="N959" s="70"/>
    </row>
    <row r="960" ht="14.25" customHeight="1">
      <c r="A960" s="70"/>
      <c r="N960" s="70"/>
    </row>
    <row r="961" ht="14.25" customHeight="1">
      <c r="A961" s="70"/>
      <c r="N961" s="70"/>
    </row>
    <row r="962" ht="14.25" customHeight="1">
      <c r="A962" s="70"/>
      <c r="N962" s="70"/>
    </row>
    <row r="963" ht="14.25" customHeight="1">
      <c r="A963" s="70"/>
      <c r="N963" s="70"/>
    </row>
    <row r="964" ht="14.25" customHeight="1">
      <c r="A964" s="70"/>
      <c r="N964" s="70"/>
    </row>
    <row r="965" ht="14.25" customHeight="1">
      <c r="A965" s="70"/>
      <c r="N965" s="70"/>
    </row>
    <row r="966" ht="14.25" customHeight="1">
      <c r="A966" s="70"/>
      <c r="N966" s="70"/>
    </row>
    <row r="967" ht="14.25" customHeight="1">
      <c r="A967" s="70"/>
      <c r="N967" s="70"/>
    </row>
    <row r="968" ht="14.25" customHeight="1">
      <c r="A968" s="70"/>
      <c r="N968" s="70"/>
    </row>
    <row r="969" ht="14.25" customHeight="1">
      <c r="A969" s="70"/>
      <c r="N969" s="70"/>
    </row>
    <row r="970" ht="14.25" customHeight="1">
      <c r="A970" s="70"/>
      <c r="N970" s="70"/>
    </row>
    <row r="971" ht="14.25" customHeight="1">
      <c r="A971" s="70"/>
      <c r="N971" s="70"/>
    </row>
    <row r="972" ht="14.25" customHeight="1">
      <c r="A972" s="70"/>
      <c r="N972" s="70"/>
    </row>
    <row r="973" ht="14.25" customHeight="1">
      <c r="A973" s="70"/>
      <c r="N973" s="70"/>
    </row>
    <row r="974" ht="14.25" customHeight="1">
      <c r="A974" s="70"/>
      <c r="N974" s="70"/>
    </row>
    <row r="975" ht="14.25" customHeight="1">
      <c r="A975" s="70"/>
      <c r="N975" s="70"/>
    </row>
    <row r="976" ht="14.25" customHeight="1">
      <c r="A976" s="70"/>
      <c r="N976" s="70"/>
    </row>
    <row r="977" ht="14.25" customHeight="1">
      <c r="A977" s="70"/>
      <c r="N977" s="70"/>
    </row>
    <row r="978" ht="14.25" customHeight="1">
      <c r="A978" s="70"/>
      <c r="N978" s="70"/>
    </row>
    <row r="979" ht="14.25" customHeight="1">
      <c r="A979" s="70"/>
      <c r="N979" s="70"/>
    </row>
    <row r="980" ht="14.25" customHeight="1">
      <c r="A980" s="70"/>
      <c r="N980" s="70"/>
    </row>
    <row r="981" ht="14.25" customHeight="1">
      <c r="A981" s="70"/>
      <c r="N981" s="70"/>
    </row>
    <row r="982" ht="14.25" customHeight="1">
      <c r="A982" s="70"/>
      <c r="N982" s="70"/>
    </row>
    <row r="983" ht="14.25" customHeight="1">
      <c r="A983" s="70"/>
      <c r="N983" s="70"/>
    </row>
    <row r="984" ht="14.25" customHeight="1">
      <c r="A984" s="70"/>
      <c r="N984" s="70"/>
    </row>
    <row r="985" ht="14.25" customHeight="1">
      <c r="A985" s="70"/>
      <c r="N985" s="70"/>
    </row>
    <row r="986" ht="14.25" customHeight="1">
      <c r="A986" s="70"/>
      <c r="N986" s="70"/>
    </row>
    <row r="987" ht="14.25" customHeight="1">
      <c r="A987" s="70"/>
      <c r="N987" s="70"/>
    </row>
    <row r="988" ht="14.25" customHeight="1">
      <c r="A988" s="70"/>
      <c r="N988" s="70"/>
    </row>
    <row r="989" ht="14.25" customHeight="1">
      <c r="A989" s="70"/>
      <c r="N989" s="70"/>
    </row>
    <row r="990" ht="14.25" customHeight="1">
      <c r="A990" s="70"/>
      <c r="N990" s="70"/>
    </row>
    <row r="991" ht="14.25" customHeight="1">
      <c r="A991" s="70"/>
      <c r="N991" s="70"/>
    </row>
    <row r="992" ht="14.25" customHeight="1">
      <c r="A992" s="70"/>
      <c r="N992" s="70"/>
    </row>
    <row r="993" ht="14.25" customHeight="1">
      <c r="A993" s="70"/>
      <c r="N993" s="70"/>
    </row>
    <row r="994" ht="14.25" customHeight="1">
      <c r="A994" s="70"/>
      <c r="N994" s="70"/>
    </row>
    <row r="995" ht="14.25" customHeight="1">
      <c r="A995" s="70"/>
      <c r="N995" s="70"/>
    </row>
    <row r="996" ht="14.25" customHeight="1">
      <c r="A996" s="70"/>
      <c r="N996" s="70"/>
    </row>
    <row r="997" ht="14.25" customHeight="1">
      <c r="A997" s="70"/>
      <c r="N997" s="70"/>
    </row>
    <row r="998" ht="14.25" customHeight="1">
      <c r="A998" s="70"/>
      <c r="N998" s="70"/>
    </row>
    <row r="999" ht="14.25" customHeight="1">
      <c r="A999" s="70"/>
      <c r="N999" s="70"/>
    </row>
    <row r="1000" ht="14.25" customHeight="1">
      <c r="A1000" s="70"/>
      <c r="N1000" s="70"/>
    </row>
  </sheetData>
  <mergeCells count="17">
    <mergeCell ref="A3:A4"/>
    <mergeCell ref="B3:B4"/>
    <mergeCell ref="C3:C4"/>
    <mergeCell ref="F3:F4"/>
    <mergeCell ref="G3:G4"/>
    <mergeCell ref="H3:H4"/>
    <mergeCell ref="I3:I4"/>
    <mergeCell ref="T3:T4"/>
    <mergeCell ref="U3:U4"/>
    <mergeCell ref="V3:V4"/>
    <mergeCell ref="J3:J4"/>
    <mergeCell ref="K3:K4"/>
    <mergeCell ref="L3:L4"/>
    <mergeCell ref="M3:M4"/>
    <mergeCell ref="O3:O4"/>
    <mergeCell ref="P3:P4"/>
    <mergeCell ref="Q3:Q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10.63"/>
  </cols>
  <sheetData>
    <row r="1" ht="14.25" customHeight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4.2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4.2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4.25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4.25" customHeigh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4.25" customHeight="1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4.25" customHeight="1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14.25" customHeight="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4.25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4.25" customHeight="1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4.25" customHeight="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4.25" customHeight="1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4.25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4.25" customHeight="1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4.25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14.25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4.25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14.2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14.2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14.25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4.2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4.2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4.2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4.2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4.2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4.2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4.2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4.2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4.2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4.2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4.2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4.2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4.2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4.2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4.2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4.2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4.2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4.2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4.2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4.2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4.2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4.2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4.2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4.2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4.2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4.2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4.2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4.2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4.2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4.2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4.2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4.2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4.2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4.2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4.2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4.2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4.2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4.2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4.2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4.2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4.2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4.2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4.2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4.2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4.2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4.2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4.2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4.2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4.2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4.2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4.2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4.2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4.2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4.2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4.2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4.2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4.2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4.2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4.2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4.2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4.2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4.2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4.2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4.2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4.2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4.2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4.2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4.2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4.2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4.2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4.2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4.2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4.2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4.2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4.2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4.2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4.2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4.2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4.2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4.2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4.2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4.2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4.2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4.2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4.2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4.2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4.2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4.2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4.2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4.2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4.2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4.2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4.2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4.2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4.2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4.2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4.2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4.2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4.2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4.2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4.2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4.2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4.2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4.2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4.2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4.2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4.2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4.2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4.2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4.2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4.2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4.2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4.2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4.2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4.2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4.2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4.2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4.2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4.2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4.2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4.2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4.2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4.2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4.2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4.2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4.2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4.2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4.2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4.2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4.2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4.2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4.2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4.2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4.2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4.2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4.2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4.2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4.2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4.2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4.2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4.2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4.2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4.2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4.2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4.2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4.2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4.2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4.2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4.2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4.2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4.2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4.2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4.2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4.2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4.2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4.2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4.2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4.2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4.2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4.2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4.2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4.2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4.2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4.2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4.2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4.2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4.2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4.2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4.2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4.2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4.2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4.2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4.2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4.2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4.2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4.2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4.2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4.2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4.2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4.2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4.2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4.2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4.2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4.2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4.2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4.2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4.2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4.2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4.2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4.2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4.2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4.2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4.2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4.2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4.2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4.2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4.2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4.2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4.2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4.2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4.2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4.2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4.2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4.2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4.2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4.2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4.2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4.2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4.2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4.2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4.2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4.2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4.2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4.2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4.2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4.2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4.2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4.2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4.2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4.2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4.2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4.2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4.2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4.2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4.2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4.2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4.2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4.2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4.2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4.2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4.2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4.2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4.2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4.2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4.2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4.2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4.2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4.2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4.2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4.2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4.2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4.2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4.2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4.2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4.2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4.2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4.2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4.2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4.2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4.2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4.2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4.2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4.2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4.2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4.2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4.2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4.2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4.2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4.2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4.2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4.2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4.2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4.2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4.2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4.2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4.2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4.2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4.2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4.2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4.2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4.2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4.2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4.2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4.2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4.2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4.2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4.2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4.2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4.2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4.2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4.2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4.2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4.2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4.2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4.2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4.2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4.2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4.2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4.2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4.2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4.2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4.2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4.2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4.2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4.2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4.2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4.2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4.2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4.2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4.2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4.2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4.2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4.2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4.2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4.2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4.2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4.2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4.2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4.2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4.2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4.2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4.2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4.2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4.2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4.2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4.2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4.2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4.2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4.2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4.2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4.2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4.2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4.2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4.2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4.2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4.2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4.2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4.2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4.2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4.2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4.2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4.2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4.2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4.2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4.2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4.2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4.2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4.2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4.2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4.2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4.2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4.2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4.2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4.2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4.2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4.2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4.2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4.2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4.2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4.2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4.2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4.2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4.2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4.2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4.2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4.2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4.2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4.2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4.2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4.2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4.2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4.2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4.2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4.2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4.2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4.2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4.2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4.2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4.2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4.2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4.2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4.2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4.2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4.2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4.2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4.2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4.2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4.2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4.2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4.2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4.2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4.2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4.2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4.2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4.2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4.2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4.2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4.2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4.2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4.2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4.2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4.2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4.2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4.2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4.2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4.2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4.2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4.2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4.2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4.2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4.2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4.2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4.2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4.2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4.2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4.2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4.2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4.2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4.2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4.2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4.2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4.2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4.2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4.2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4.2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4.2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4.2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4.2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4.2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4.2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4.2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4.2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4.2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4.2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4.2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4.2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4.2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4.2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4.2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4.2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4.2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4.2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4.2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4.2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4.2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4.2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4.2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4.2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4.2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4.2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4.2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4.2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4.2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4.2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4.2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4.2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4.2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4.2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4.2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4.2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4.2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4.2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4.2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4.2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4.2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4.2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4.2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4.2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4.2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4.2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4.2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4.2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4.2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4.2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4.2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4.2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4.2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4.2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4.2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4.2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4.2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4.2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4.2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4.2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4.2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4.2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4.2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4.2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4.2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4.2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4.2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4.2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4.2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4.2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4.2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4.2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4.2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4.2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4.2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4.2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4.2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4.2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4.2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4.2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4.2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4.2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4.2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4.2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4.2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4.2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4.2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4.2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4.2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4.2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4.2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4.2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4.2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4.2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4.2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4.2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4.2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4.2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4.2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4.2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4.2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4.2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4.2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4.2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4.2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4.2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4.2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4.2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4.2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4.2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4.2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4.2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4.2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4.2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4.2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4.2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4.2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4.2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4.2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4.2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4.2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4.2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4.2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4.2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4.2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4.2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4.2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4.2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4.2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4.2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4.2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4.2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4.2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4.2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4.2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4.2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4.2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4.2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4.2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4.2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4.2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4.2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4.2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4.2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4.2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4.2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4.2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4.2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4.2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4.2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4.2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4.2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4.2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4.2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4.2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4.2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4.2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4.2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4.2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4.2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4.2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4.2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4.2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4.2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4.2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4.2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4.2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4.2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4.2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4.2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4.2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4.2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4.2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4.2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4.2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4.2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4.2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4.2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4.2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4.2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4.2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4.2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4.2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4.2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4.2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4.2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4.2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4.2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4.2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4.2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4.2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4.2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4.2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4.2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4.2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4.2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4.2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4.2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4.2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4.2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4.2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4.2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4.2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4.2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4.2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4.2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4.2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4.2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4.2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4.2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4.2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4.2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4.2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4.2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4.2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4.2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4.2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4.2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4.2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4.2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4.2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4.2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4.2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4.2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4.2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4.2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4.2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4.2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4.2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4.2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4.2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4.2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4.2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4.2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4.2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4.2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4.2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4.2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4.2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4.2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4.2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4.2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4.2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4.2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4.2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4.2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4.2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4.2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4.2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4.2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4.2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4.2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4.2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4.2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4.2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4.2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4.2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4.2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4.2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4.2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4.2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4.2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4.2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4.2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4.2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4.2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4.2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4.2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4.2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4.2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4.2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4.2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4.2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4.2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4.2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4.2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4.2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4.2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4.2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4.2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4.2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4.2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4.2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4.2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4.2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4.2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4.2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4.2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4.2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4.2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4.2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4.2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4.2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4.2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4.2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4.2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4.2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4.2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4.2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4.2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4.2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4.2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4.2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4.2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4.2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4.2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4.2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4.2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4.2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4.2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4.2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4.2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4.2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4.2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4.2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4.2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4.2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4.2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4.2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4.2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4.2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4.2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4.2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4.2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4.2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4.2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4.2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4.2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4.2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4.2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4.2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4.2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4.2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4.2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4.2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4.2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4.2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4.2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4.2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4.2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4.2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4.2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4.2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4.2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4.2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4.2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4.2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4.2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4.2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4.2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4.2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4.2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4.2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4.2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4.2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4.2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4.2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4.2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4.2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4.2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4.2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4.2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4.2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4.2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4.2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4.2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4.2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4.2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4.2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4.2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4.2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4.2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4.2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4.2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4.2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4.2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4.2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4.2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4.2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4.2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4.2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4.2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4.2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4.2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4.2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4.2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4.2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4.2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4.2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4.2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4.2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4.2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4.2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4.2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4.2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4.2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4.2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4.2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4.2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4.2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4.2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4.2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4.2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4.2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4.2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4.2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4.2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4.2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4.2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4.2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4.2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4.2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4.2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4.2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4.2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4.2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4.2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4.2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4.2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4.2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4.2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4.2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4.2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4.2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4.2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4.2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4.2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4.2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4.2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4.2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4.2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4.2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4.2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4.2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4.2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4.2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4.2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4.2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4.2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4.2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4.2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4.2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4.2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4.2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4.2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4.2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4.2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4.2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4.2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4.2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4.2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4.2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4.2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4.2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4.2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4.2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4.2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4.2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4.2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4.2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4.2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4.2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4.2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4.2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4.2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4.2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4.2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4.2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4.2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4.2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4.2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4.2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4.2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4.2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4.2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4.2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4.2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4.2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4.2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4.2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4.2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4.2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4.2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4.2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4.2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4.2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4.2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4.2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4.2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4.2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4.2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4.2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4.2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4.2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4.2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4.2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4.2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4.2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4.2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4.2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4.2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4.2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4.2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4.2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4.2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4.2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4.2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4.2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4.2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4.2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4.2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4.2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4.2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4.2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4.2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4.2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4.2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4.2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4.2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4.2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4.2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4.2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4.2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4.2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4.2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4.2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4.2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4.2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4.2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4.2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4.2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4.2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4.2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4.2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4.2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4.2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4.2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4.2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4.2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4.2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4.2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4.2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4.2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4.2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4.2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4.2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4.2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4.2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4.2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4.2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4.2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4.2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4.2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4.2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4.2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4.2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4.2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4.2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4.2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4.2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4.2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4.2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4.2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14.2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14.2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32.13"/>
    <col customWidth="1" min="3" max="3" width="12.25"/>
    <col customWidth="1" min="4" max="4" width="11.75"/>
    <col customWidth="1" min="5" max="7" width="10.38"/>
    <col customWidth="1" min="8" max="9" width="21.5"/>
    <col customWidth="1" min="10" max="11" width="17.38"/>
  </cols>
  <sheetData>
    <row r="1" ht="13.5" customHeight="1">
      <c r="A1" s="72"/>
      <c r="B1" s="73" t="s">
        <v>98</v>
      </c>
      <c r="G1" s="74"/>
      <c r="H1" s="75"/>
      <c r="I1" s="75"/>
      <c r="J1" s="75"/>
      <c r="K1" s="75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ht="13.5" customHeight="1">
      <c r="A2" s="76" t="s">
        <v>59</v>
      </c>
      <c r="B2" s="77">
        <v>46214.0</v>
      </c>
      <c r="C2" s="75"/>
      <c r="D2" s="75"/>
      <c r="E2" s="75"/>
      <c r="F2" s="75"/>
      <c r="G2" s="75"/>
      <c r="H2" s="75"/>
      <c r="I2" s="75"/>
      <c r="J2" s="75"/>
      <c r="K2" s="75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ht="13.5" customHeight="1">
      <c r="A3" s="76" t="s">
        <v>99</v>
      </c>
      <c r="B3" s="78">
        <v>0.8263888888888888</v>
      </c>
      <c r="C3" s="75"/>
      <c r="D3" s="75"/>
      <c r="E3" s="79"/>
      <c r="F3" s="79"/>
      <c r="G3" s="79"/>
      <c r="H3" s="79"/>
      <c r="I3" s="79"/>
      <c r="J3" s="79"/>
      <c r="K3" s="79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ht="13.5" customHeight="1">
      <c r="A4" s="80"/>
      <c r="B4" s="75"/>
      <c r="C4" s="75"/>
      <c r="D4" s="75"/>
      <c r="E4" s="81" t="s">
        <v>100</v>
      </c>
      <c r="F4" s="82" t="s">
        <v>101</v>
      </c>
      <c r="H4" s="83" t="s">
        <v>102</v>
      </c>
      <c r="I4" s="75"/>
      <c r="J4" s="75"/>
      <c r="K4" s="75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ht="13.5" customHeight="1">
      <c r="A5" s="84" t="s">
        <v>49</v>
      </c>
      <c r="B5" s="85" t="s">
        <v>50</v>
      </c>
      <c r="C5" s="86" t="s">
        <v>103</v>
      </c>
      <c r="D5" s="86" t="s">
        <v>104</v>
      </c>
      <c r="E5" s="87" t="s">
        <v>105</v>
      </c>
      <c r="F5" s="88" t="s">
        <v>106</v>
      </c>
      <c r="G5" s="88" t="s">
        <v>62</v>
      </c>
      <c r="H5" s="87" t="s">
        <v>107</v>
      </c>
      <c r="I5" s="88" t="s">
        <v>108</v>
      </c>
      <c r="J5" s="88" t="s">
        <v>7</v>
      </c>
      <c r="K5" s="89" t="s">
        <v>109</v>
      </c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ht="13.5" customHeight="1">
      <c r="A6" s="90" t="s">
        <v>69</v>
      </c>
      <c r="B6" s="90" t="s">
        <v>110</v>
      </c>
      <c r="C6" s="91"/>
      <c r="D6" s="92">
        <v>1.0</v>
      </c>
      <c r="E6" s="93"/>
      <c r="F6" s="94"/>
      <c r="G6" s="95">
        <f>'INV26-1'!$E6+'INV26-1'!$F6-'INV26-1'!$H6</f>
        <v>0</v>
      </c>
      <c r="H6" s="93"/>
      <c r="I6" s="96">
        <f>'INV26-1'!$C6*'INV26-1'!$G6</f>
        <v>0</v>
      </c>
      <c r="J6" s="97">
        <f>'INV26-1'!$G6*'INV26-1'!$D6</f>
        <v>0</v>
      </c>
      <c r="K6" s="98">
        <f>'INV26-1'!$J6-'INV26-1'!$I6</f>
        <v>0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ht="13.5" customHeight="1">
      <c r="A7" s="90" t="s">
        <v>69</v>
      </c>
      <c r="B7" s="90" t="s">
        <v>111</v>
      </c>
      <c r="C7" s="91"/>
      <c r="D7" s="92">
        <v>1.0</v>
      </c>
      <c r="E7" s="93"/>
      <c r="F7" s="94"/>
      <c r="G7" s="95">
        <f>'INV26-1'!$E7+'INV26-1'!$F7-'INV26-1'!$H7</f>
        <v>0</v>
      </c>
      <c r="H7" s="93"/>
      <c r="I7" s="96">
        <f>'INV26-1'!$C7*'INV26-1'!$G7</f>
        <v>0</v>
      </c>
      <c r="J7" s="97">
        <f>'INV26-1'!$G7*'INV26-1'!$D7</f>
        <v>0</v>
      </c>
      <c r="K7" s="98">
        <f>'INV26-1'!$J7-'INV26-1'!$I7</f>
        <v>0</v>
      </c>
      <c r="L7" s="99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ht="13.5" customHeight="1">
      <c r="A8" s="90" t="s">
        <v>77</v>
      </c>
      <c r="B8" s="90" t="s">
        <v>112</v>
      </c>
      <c r="C8" s="91"/>
      <c r="D8" s="92">
        <v>0.5</v>
      </c>
      <c r="E8" s="93"/>
      <c r="F8" s="94"/>
      <c r="G8" s="95">
        <f>'INV26-1'!$E8+'INV26-1'!$F8-'INV26-1'!$H8</f>
        <v>0</v>
      </c>
      <c r="H8" s="93"/>
      <c r="I8" s="96">
        <f>'INV26-1'!$C8*'INV26-1'!$G8</f>
        <v>0</v>
      </c>
      <c r="J8" s="97">
        <f>'INV26-1'!$G8*'INV26-1'!$D8</f>
        <v>0</v>
      </c>
      <c r="K8" s="98">
        <f>'INV26-1'!$J8-'INV26-1'!$I8</f>
        <v>0</v>
      </c>
      <c r="L8" s="99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ht="13.5" customHeight="1">
      <c r="A9" s="90" t="s">
        <v>69</v>
      </c>
      <c r="B9" s="90" t="s">
        <v>113</v>
      </c>
      <c r="C9" s="91"/>
      <c r="D9" s="92">
        <v>0.5</v>
      </c>
      <c r="E9" s="93"/>
      <c r="F9" s="94"/>
      <c r="G9" s="95">
        <f>'INV26-1'!$E9+'INV26-1'!$F9-'INV26-1'!$H9</f>
        <v>0</v>
      </c>
      <c r="H9" s="93"/>
      <c r="I9" s="96">
        <f>'INV26-1'!$C9*'INV26-1'!$G9</f>
        <v>0</v>
      </c>
      <c r="J9" s="97">
        <f>'INV26-1'!$G9*'INV26-1'!$D9</f>
        <v>0</v>
      </c>
      <c r="K9" s="98">
        <f>'INV26-1'!$J9-'INV26-1'!$I9</f>
        <v>0</v>
      </c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ht="13.5" customHeight="1">
      <c r="A10" s="90" t="s">
        <v>69</v>
      </c>
      <c r="B10" s="90" t="s">
        <v>114</v>
      </c>
      <c r="C10" s="91"/>
      <c r="D10" s="92">
        <v>1.0</v>
      </c>
      <c r="E10" s="93"/>
      <c r="F10" s="94"/>
      <c r="G10" s="95">
        <f>'INV26-1'!$E10+'INV26-1'!$F10-'INV26-1'!$H10</f>
        <v>0</v>
      </c>
      <c r="H10" s="93"/>
      <c r="I10" s="96">
        <f>'INV26-1'!$C10*'INV26-1'!$G10</f>
        <v>0</v>
      </c>
      <c r="J10" s="97">
        <f>'INV26-1'!$G10*'INV26-1'!$D10</f>
        <v>0</v>
      </c>
      <c r="K10" s="98">
        <f>'INV26-1'!$J10-'INV26-1'!$I10</f>
        <v>0</v>
      </c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3.5" customHeight="1">
      <c r="A11" s="90" t="s">
        <v>69</v>
      </c>
      <c r="B11" s="90" t="s">
        <v>115</v>
      </c>
      <c r="C11" s="91"/>
      <c r="D11" s="92">
        <v>10.0</v>
      </c>
      <c r="E11" s="93"/>
      <c r="F11" s="94"/>
      <c r="G11" s="95">
        <f>'INV26-1'!$E11+'INV26-1'!$F11-'INV26-1'!$H11</f>
        <v>0</v>
      </c>
      <c r="H11" s="93"/>
      <c r="I11" s="96">
        <f>'INV26-1'!$C11*'INV26-1'!$G11</f>
        <v>0</v>
      </c>
      <c r="J11" s="97">
        <f>'INV26-1'!$G11*'INV26-1'!$D11</f>
        <v>0</v>
      </c>
      <c r="K11" s="98">
        <f>'INV26-1'!$J11-'INV26-1'!$I11</f>
        <v>0</v>
      </c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ht="13.5" customHeight="1">
      <c r="A12" s="90" t="s">
        <v>69</v>
      </c>
      <c r="B12" s="90" t="s">
        <v>116</v>
      </c>
      <c r="C12" s="91"/>
      <c r="D12" s="92">
        <v>10.0</v>
      </c>
      <c r="E12" s="93"/>
      <c r="F12" s="94"/>
      <c r="G12" s="95">
        <f>'INV26-1'!$E12+'INV26-1'!$F12-'INV26-1'!$H12</f>
        <v>0</v>
      </c>
      <c r="H12" s="93"/>
      <c r="I12" s="96">
        <f>'INV26-1'!$C12*'INV26-1'!$G12</f>
        <v>0</v>
      </c>
      <c r="J12" s="97">
        <f>'INV26-1'!$G12*'INV26-1'!$D12</f>
        <v>0</v>
      </c>
      <c r="K12" s="98">
        <f>'INV26-1'!$J12-'INV26-1'!$I12</f>
        <v>0</v>
      </c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3.5" customHeight="1">
      <c r="A13" s="90" t="s">
        <v>69</v>
      </c>
      <c r="B13" s="90" t="s">
        <v>117</v>
      </c>
      <c r="C13" s="91"/>
      <c r="D13" s="92">
        <v>15.0</v>
      </c>
      <c r="E13" s="93"/>
      <c r="F13" s="94"/>
      <c r="G13" s="95">
        <f>'INV26-1'!$E13+'INV26-1'!$F13-'INV26-1'!$H13</f>
        <v>0</v>
      </c>
      <c r="H13" s="93"/>
      <c r="I13" s="96">
        <f>'INV26-1'!$C13*'INV26-1'!$G13</f>
        <v>0</v>
      </c>
      <c r="J13" s="97">
        <f>'INV26-1'!$G13*'INV26-1'!$D13</f>
        <v>0</v>
      </c>
      <c r="K13" s="98">
        <f>'INV26-1'!$J13-'INV26-1'!$I13</f>
        <v>0</v>
      </c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3.5" customHeight="1">
      <c r="A14" s="90" t="s">
        <v>69</v>
      </c>
      <c r="B14" s="90" t="s">
        <v>118</v>
      </c>
      <c r="C14" s="91"/>
      <c r="D14" s="92">
        <v>15.0</v>
      </c>
      <c r="E14" s="93"/>
      <c r="F14" s="94"/>
      <c r="G14" s="95">
        <f>'INV26-1'!$E14+'INV26-1'!$F14-'INV26-1'!$H14</f>
        <v>0</v>
      </c>
      <c r="H14" s="93"/>
      <c r="I14" s="96">
        <f>'INV26-1'!$C14*'INV26-1'!$G14</f>
        <v>0</v>
      </c>
      <c r="J14" s="97">
        <f>'INV26-1'!$G14*'INV26-1'!$D14</f>
        <v>0</v>
      </c>
      <c r="K14" s="98">
        <f>'INV26-1'!$J14-'INV26-1'!$I14</f>
        <v>0</v>
      </c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3.5" customHeight="1">
      <c r="A15" s="90" t="s">
        <v>69</v>
      </c>
      <c r="B15" s="90" t="s">
        <v>119</v>
      </c>
      <c r="C15" s="91"/>
      <c r="D15" s="92">
        <v>15.0</v>
      </c>
      <c r="E15" s="93"/>
      <c r="F15" s="94"/>
      <c r="G15" s="95">
        <f>'INV26-1'!$E15+'INV26-1'!$F15-'INV26-1'!$H15</f>
        <v>0</v>
      </c>
      <c r="H15" s="93"/>
      <c r="I15" s="96">
        <f>'INV26-1'!$C15*'INV26-1'!$G15</f>
        <v>0</v>
      </c>
      <c r="J15" s="97">
        <f>'INV26-1'!$G15*'INV26-1'!$D15</f>
        <v>0</v>
      </c>
      <c r="K15" s="98">
        <f>'INV26-1'!$J15-'INV26-1'!$I15</f>
        <v>0</v>
      </c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3.5" customHeight="1">
      <c r="A16" s="101" t="s">
        <v>69</v>
      </c>
      <c r="B16" s="101" t="s">
        <v>120</v>
      </c>
      <c r="C16" s="102"/>
      <c r="D16" s="103">
        <v>3.0</v>
      </c>
      <c r="E16" s="104"/>
      <c r="F16" s="105"/>
      <c r="G16" s="106">
        <f>'INV26-1'!$E16+'INV26-1'!$F16-'INV26-1'!$H16</f>
        <v>0</v>
      </c>
      <c r="H16" s="104"/>
      <c r="I16" s="107">
        <f>'INV26-1'!$C16*'INV26-1'!$G16</f>
        <v>0</v>
      </c>
      <c r="J16" s="108">
        <f>'INV26-1'!$G16*'INV26-1'!$D16</f>
        <v>0</v>
      </c>
      <c r="K16" s="109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ht="13.5" customHeight="1">
      <c r="A17" s="110" t="s">
        <v>81</v>
      </c>
      <c r="B17" s="110" t="s">
        <v>82</v>
      </c>
      <c r="C17" s="111"/>
      <c r="D17" s="112">
        <v>1.0</v>
      </c>
      <c r="E17" s="113"/>
      <c r="F17" s="114"/>
      <c r="G17" s="115">
        <f>'INV26-1'!$E17+'INV26-1'!$F17-'INV26-1'!$H17</f>
        <v>-50</v>
      </c>
      <c r="H17" s="116">
        <v>50.0</v>
      </c>
      <c r="I17" s="117">
        <f>'INV26-1'!$C17*'INV26-1'!$G17</f>
        <v>0</v>
      </c>
      <c r="J17" s="118">
        <f>'INV26-1'!$G17*'INV26-1'!$D17</f>
        <v>-50</v>
      </c>
      <c r="K17" s="119">
        <f>'INV26-1'!$J17-'INV26-1'!$I17</f>
        <v>-50</v>
      </c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ht="13.5" customHeight="1">
      <c r="A18" s="90" t="s">
        <v>81</v>
      </c>
      <c r="B18" s="90" t="s">
        <v>121</v>
      </c>
      <c r="C18" s="91"/>
      <c r="D18" s="120">
        <v>1.0</v>
      </c>
      <c r="E18" s="93"/>
      <c r="F18" s="94"/>
      <c r="G18" s="95">
        <f>'INV26-1'!$E18+'INV26-1'!$F18-'INV26-1'!$H18</f>
        <v>-9</v>
      </c>
      <c r="H18" s="121">
        <v>9.0</v>
      </c>
      <c r="I18" s="96">
        <f>'INV26-1'!$C18*'INV26-1'!$G18</f>
        <v>0</v>
      </c>
      <c r="J18" s="97">
        <f>'INV26-1'!$G18*'INV26-1'!$D18</f>
        <v>-9</v>
      </c>
      <c r="K18" s="98">
        <f>'INV26-1'!$J18-'INV26-1'!$I18</f>
        <v>-9</v>
      </c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ht="13.5" customHeight="1">
      <c r="A19" s="90" t="s">
        <v>81</v>
      </c>
      <c r="B19" s="90" t="s">
        <v>83</v>
      </c>
      <c r="C19" s="91"/>
      <c r="D19" s="120">
        <v>1.0</v>
      </c>
      <c r="E19" s="93"/>
      <c r="F19" s="94"/>
      <c r="G19" s="95">
        <f>'INV26-1'!$E19+'INV26-1'!$F19-'INV26-1'!$H19</f>
        <v>-43</v>
      </c>
      <c r="H19" s="121">
        <v>43.0</v>
      </c>
      <c r="I19" s="96">
        <f>'INV26-1'!$C19*'INV26-1'!$G19</f>
        <v>0</v>
      </c>
      <c r="J19" s="97">
        <f>'INV26-1'!$G19*'INV26-1'!$D19</f>
        <v>-43</v>
      </c>
      <c r="K19" s="98">
        <f>'INV26-1'!$J19-'INV26-1'!$I19</f>
        <v>-43</v>
      </c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ht="13.5" customHeight="1">
      <c r="A20" s="90" t="s">
        <v>81</v>
      </c>
      <c r="B20" s="90" t="s">
        <v>84</v>
      </c>
      <c r="C20" s="91"/>
      <c r="D20" s="92">
        <v>1.0</v>
      </c>
      <c r="E20" s="93"/>
      <c r="F20" s="94"/>
      <c r="G20" s="95">
        <f>'INV26-1'!$E20+'INV26-1'!$F20-'INV26-1'!$H20</f>
        <v>-43</v>
      </c>
      <c r="H20" s="121">
        <v>43.0</v>
      </c>
      <c r="I20" s="96">
        <f>'INV26-1'!$C20*'INV26-1'!$G20</f>
        <v>0</v>
      </c>
      <c r="J20" s="97">
        <f>'INV26-1'!$G20*'INV26-1'!$D20</f>
        <v>-43</v>
      </c>
      <c r="K20" s="98">
        <f>'INV26-1'!$J20-'INV26-1'!$I20</f>
        <v>-43</v>
      </c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3.5" customHeight="1">
      <c r="A21" s="90" t="s">
        <v>81</v>
      </c>
      <c r="B21" s="90" t="s">
        <v>85</v>
      </c>
      <c r="C21" s="91"/>
      <c r="D21" s="92">
        <v>1.0</v>
      </c>
      <c r="E21" s="93"/>
      <c r="F21" s="94"/>
      <c r="G21" s="95">
        <f>'INV26-1'!$E21+'INV26-1'!$F21-'INV26-1'!$H21</f>
        <v>-38</v>
      </c>
      <c r="H21" s="121">
        <v>38.0</v>
      </c>
      <c r="I21" s="96">
        <f>'INV26-1'!$C21*'INV26-1'!$G21</f>
        <v>0</v>
      </c>
      <c r="J21" s="97">
        <f>'INV26-1'!$G21*'INV26-1'!$D21</f>
        <v>-38</v>
      </c>
      <c r="K21" s="98">
        <f>'INV26-1'!$J21-'INV26-1'!$I21</f>
        <v>-38</v>
      </c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3.5" customHeight="1">
      <c r="A22" s="90" t="s">
        <v>81</v>
      </c>
      <c r="B22" s="122" t="s">
        <v>122</v>
      </c>
      <c r="C22" s="91"/>
      <c r="D22" s="120">
        <v>1.0</v>
      </c>
      <c r="E22" s="93"/>
      <c r="F22" s="94"/>
      <c r="G22" s="95">
        <f>'INV26-1'!$E22+'INV26-1'!$F22-'INV26-1'!$H22</f>
        <v>-67</v>
      </c>
      <c r="H22" s="121">
        <v>67.0</v>
      </c>
      <c r="I22" s="96">
        <f>'INV26-1'!$C22*'INV26-1'!$G22</f>
        <v>0</v>
      </c>
      <c r="J22" s="97">
        <f>'INV26-1'!$G22*'INV26-1'!$D22</f>
        <v>-67</v>
      </c>
      <c r="K22" s="98">
        <f>'INV26-1'!$J22-'INV26-1'!$I22</f>
        <v>-67</v>
      </c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3.5" customHeight="1">
      <c r="A23" s="90" t="s">
        <v>81</v>
      </c>
      <c r="B23" s="90" t="s">
        <v>96</v>
      </c>
      <c r="C23" s="91"/>
      <c r="D23" s="120">
        <v>1.0</v>
      </c>
      <c r="E23" s="93"/>
      <c r="F23" s="94"/>
      <c r="G23" s="95">
        <f>'INV26-1'!$E23+'INV26-1'!$F23-'INV26-1'!$H23</f>
        <v>-74</v>
      </c>
      <c r="H23" s="121">
        <v>74.0</v>
      </c>
      <c r="I23" s="96">
        <f>'INV26-1'!$C23*'INV26-1'!$G23</f>
        <v>0</v>
      </c>
      <c r="J23" s="97">
        <f>'INV26-1'!$G23*'INV26-1'!$D23</f>
        <v>-74</v>
      </c>
      <c r="K23" s="98">
        <f>'INV26-1'!$J23-'INV26-1'!$I23</f>
        <v>-74</v>
      </c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3.5" customHeight="1">
      <c r="A24" s="90" t="s">
        <v>81</v>
      </c>
      <c r="B24" s="90" t="s">
        <v>123</v>
      </c>
      <c r="C24" s="91"/>
      <c r="D24" s="92">
        <v>1.0</v>
      </c>
      <c r="E24" s="93"/>
      <c r="F24" s="94"/>
      <c r="G24" s="95">
        <f>'INV26-1'!$E24+'INV26-1'!$F24-'INV26-1'!$H24</f>
        <v>-2</v>
      </c>
      <c r="H24" s="121">
        <v>2.0</v>
      </c>
      <c r="I24" s="96">
        <f>'INV26-1'!$C24*'INV26-1'!$G24</f>
        <v>0</v>
      </c>
      <c r="J24" s="97">
        <f>'INV26-1'!$G24*'INV26-1'!$D24</f>
        <v>-2</v>
      </c>
      <c r="K24" s="123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3.5" customHeight="1">
      <c r="A25" s="122" t="s">
        <v>81</v>
      </c>
      <c r="B25" s="122" t="s">
        <v>124</v>
      </c>
      <c r="C25" s="91"/>
      <c r="D25" s="92"/>
      <c r="E25" s="93"/>
      <c r="F25" s="94"/>
      <c r="G25" s="95">
        <f>'INV26-1'!$E25+'INV26-1'!$F25-'INV26-1'!$H25</f>
        <v>-46</v>
      </c>
      <c r="H25" s="121">
        <v>46.0</v>
      </c>
      <c r="I25" s="96"/>
      <c r="J25" s="97"/>
      <c r="K25" s="123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3.5" customHeight="1">
      <c r="A26" s="124" t="s">
        <v>81</v>
      </c>
      <c r="B26" s="122" t="s">
        <v>125</v>
      </c>
      <c r="C26" s="125"/>
      <c r="D26" s="126"/>
      <c r="E26" s="93"/>
      <c r="F26" s="127"/>
      <c r="G26" s="95">
        <f>'INV26-1'!$E26+'INV26-1'!$F26-'INV26-1'!$H26</f>
        <v>-40</v>
      </c>
      <c r="H26" s="121">
        <v>40.0</v>
      </c>
      <c r="I26" s="128"/>
      <c r="J26" s="129"/>
      <c r="K26" s="130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3.5" customHeight="1">
      <c r="A27" s="124" t="s">
        <v>81</v>
      </c>
      <c r="B27" s="122" t="s">
        <v>87</v>
      </c>
      <c r="C27" s="125"/>
      <c r="D27" s="126"/>
      <c r="E27" s="93"/>
      <c r="F27" s="127"/>
      <c r="G27" s="95">
        <f>'INV26-1'!$E27+'INV26-1'!$F27-'INV26-1'!$H27</f>
        <v>-1</v>
      </c>
      <c r="H27" s="121">
        <v>1.0</v>
      </c>
      <c r="I27" s="128"/>
      <c r="J27" s="129"/>
      <c r="K27" s="130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3.5" customHeight="1">
      <c r="A28" s="131" t="s">
        <v>81</v>
      </c>
      <c r="B28" s="132" t="s">
        <v>126</v>
      </c>
      <c r="C28" s="133"/>
      <c r="D28" s="134"/>
      <c r="E28" s="135"/>
      <c r="F28" s="136"/>
      <c r="G28" s="95">
        <f>'INV26-1'!$E28+'INV26-1'!$F28-'INV26-1'!$H28</f>
        <v>-25</v>
      </c>
      <c r="H28" s="137">
        <v>25.0</v>
      </c>
      <c r="I28" s="138"/>
      <c r="J28" s="139"/>
      <c r="K28" s="140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3.5" customHeight="1">
      <c r="A29" s="131" t="s">
        <v>81</v>
      </c>
      <c r="B29" s="141" t="s">
        <v>127</v>
      </c>
      <c r="C29" s="142"/>
      <c r="D29" s="143"/>
      <c r="E29" s="144"/>
      <c r="F29" s="144"/>
      <c r="G29" s="145">
        <f>'INV26-1'!$E29+'INV26-1'!$F29-'INV26-1'!$H29</f>
        <v>-14</v>
      </c>
      <c r="H29" s="141">
        <v>14.0</v>
      </c>
      <c r="I29" s="146"/>
      <c r="J29" s="147"/>
      <c r="K29" s="140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3.5" customHeight="1">
      <c r="A30" s="72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3.5" customHeight="1">
      <c r="A31" s="72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3.5" customHeight="1">
      <c r="A32" s="72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3.5" customHeight="1">
      <c r="A33" s="72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3.5" customHeight="1">
      <c r="A34" s="72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3.5" customHeight="1">
      <c r="A35" s="72"/>
      <c r="B35" s="75"/>
      <c r="C35" s="75"/>
      <c r="D35" s="75"/>
      <c r="E35" s="75"/>
      <c r="F35" s="75"/>
      <c r="G35" s="75"/>
      <c r="H35" s="75"/>
      <c r="I35" s="75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3.5" customHeight="1">
      <c r="A36" s="148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3.5" customHeight="1">
      <c r="A37" s="148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3.5" customHeight="1">
      <c r="A38" s="148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3.5" customHeight="1">
      <c r="A39" s="148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3.5" customHeight="1">
      <c r="A40" s="148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3.5" customHeight="1">
      <c r="A41" s="148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3.5" customHeight="1">
      <c r="A42" s="148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3.5" customHeight="1">
      <c r="A43" s="148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3.5" customHeight="1">
      <c r="A44" s="148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3.5" customHeight="1">
      <c r="A45" s="148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3.5" customHeight="1">
      <c r="A46" s="148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3.5" customHeight="1">
      <c r="A47" s="148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3.5" customHeight="1">
      <c r="A48" s="148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3.5" customHeight="1">
      <c r="A49" s="148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3.5" customHeight="1">
      <c r="A50" s="148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3.5" customHeight="1">
      <c r="A51" s="148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3.5" customHeight="1">
      <c r="A52" s="148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3.5" customHeight="1">
      <c r="A53" s="148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3.5" customHeight="1">
      <c r="A54" s="148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3.5" customHeight="1">
      <c r="A55" s="148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3.5" customHeight="1">
      <c r="A56" s="14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3.5" customHeight="1">
      <c r="A57" s="148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3.5" customHeight="1">
      <c r="A58" s="148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3.5" customHeight="1">
      <c r="A59" s="148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3.5" customHeight="1">
      <c r="A60" s="148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3.5" customHeight="1">
      <c r="A61" s="148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3.5" customHeight="1">
      <c r="A62" s="148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3.5" customHeight="1">
      <c r="A63" s="148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3.5" customHeight="1">
      <c r="A64" s="148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3.5" customHeight="1">
      <c r="A65" s="148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3.5" customHeight="1">
      <c r="A66" s="148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3.5" customHeight="1">
      <c r="A67" s="148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3.5" customHeight="1">
      <c r="A68" s="148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3.5" customHeight="1">
      <c r="A69" s="148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3.5" customHeight="1">
      <c r="A70" s="148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3.5" customHeight="1">
      <c r="A71" s="148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3.5" customHeight="1">
      <c r="A72" s="148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3.5" customHeight="1">
      <c r="A73" s="148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3.5" customHeight="1">
      <c r="A74" s="148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3.5" customHeight="1">
      <c r="A75" s="148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3.5" customHeight="1">
      <c r="A76" s="148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3.5" customHeight="1">
      <c r="A77" s="148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3.5" customHeight="1">
      <c r="A78" s="148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3.5" customHeight="1">
      <c r="A79" s="148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3.5" customHeight="1">
      <c r="A80" s="148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3.5" customHeight="1">
      <c r="A81" s="148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3.5" customHeight="1">
      <c r="A82" s="148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3.5" customHeight="1">
      <c r="A83" s="148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3.5" customHeight="1">
      <c r="A84" s="148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3.5" customHeight="1">
      <c r="A85" s="148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3.5" customHeight="1">
      <c r="A86" s="148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3.5" customHeight="1">
      <c r="A87" s="148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3.5" customHeight="1">
      <c r="A88" s="148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3.5" customHeight="1">
      <c r="A89" s="148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3.5" customHeight="1">
      <c r="A90" s="148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3.5" customHeight="1">
      <c r="A91" s="148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3.5" customHeight="1">
      <c r="A92" s="148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3.5" customHeight="1">
      <c r="A93" s="148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3.5" customHeight="1">
      <c r="A94" s="148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3.5" customHeight="1">
      <c r="A95" s="148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3.5" customHeight="1">
      <c r="A96" s="148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3.5" customHeight="1">
      <c r="A97" s="148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3.5" customHeight="1">
      <c r="A98" s="148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3.5" customHeight="1">
      <c r="A99" s="148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3.5" customHeight="1">
      <c r="A100" s="148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3.5" customHeight="1">
      <c r="A101" s="148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3.5" customHeight="1">
      <c r="A102" s="148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3.5" customHeight="1">
      <c r="A103" s="148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3.5" customHeight="1">
      <c r="A104" s="148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3.5" customHeight="1">
      <c r="A105" s="148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3.5" customHeight="1">
      <c r="A106" s="148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3.5" customHeight="1">
      <c r="A107" s="148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3.5" customHeight="1">
      <c r="A108" s="148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3.5" customHeight="1">
      <c r="A109" s="148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3.5" customHeight="1">
      <c r="A110" s="148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3.5" customHeight="1">
      <c r="A111" s="148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3.5" customHeight="1">
      <c r="A112" s="148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3.5" customHeight="1">
      <c r="A113" s="148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3.5" customHeight="1">
      <c r="A114" s="148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3.5" customHeight="1">
      <c r="A115" s="148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3.5" customHeight="1">
      <c r="A116" s="148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3.5" customHeight="1">
      <c r="A117" s="148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3.5" customHeight="1">
      <c r="A118" s="148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3.5" customHeight="1">
      <c r="A119" s="148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3.5" customHeight="1">
      <c r="A120" s="148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3.5" customHeight="1">
      <c r="A121" s="148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3.5" customHeight="1">
      <c r="A122" s="148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3.5" customHeight="1">
      <c r="A123" s="148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3.5" customHeight="1">
      <c r="A124" s="148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3.5" customHeight="1">
      <c r="A125" s="148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3.5" customHeight="1">
      <c r="A126" s="148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3.5" customHeight="1">
      <c r="A127" s="148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3.5" customHeight="1">
      <c r="A128" s="148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3.5" customHeight="1">
      <c r="A129" s="148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3.5" customHeight="1">
      <c r="A130" s="148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3.5" customHeight="1">
      <c r="A131" s="148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3.5" customHeight="1">
      <c r="A132" s="148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3.5" customHeight="1">
      <c r="A133" s="148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3.5" customHeight="1">
      <c r="A134" s="148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3.5" customHeight="1">
      <c r="A135" s="148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3.5" customHeight="1">
      <c r="A136" s="148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3.5" customHeight="1">
      <c r="A137" s="148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3.5" customHeight="1">
      <c r="A138" s="148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3.5" customHeight="1">
      <c r="A139" s="148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3.5" customHeight="1">
      <c r="A140" s="148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3.5" customHeight="1">
      <c r="A141" s="148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3.5" customHeight="1">
      <c r="A142" s="148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3.5" customHeight="1">
      <c r="A143" s="148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3.5" customHeight="1">
      <c r="A144" s="148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3.5" customHeight="1">
      <c r="A145" s="148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3.5" customHeight="1">
      <c r="A146" s="148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3.5" customHeight="1">
      <c r="A147" s="148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3.5" customHeight="1">
      <c r="A148" s="148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3.5" customHeight="1">
      <c r="A149" s="148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3.5" customHeight="1">
      <c r="A150" s="148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3.5" customHeight="1">
      <c r="A151" s="148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3.5" customHeight="1">
      <c r="A152" s="148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3.5" customHeight="1">
      <c r="A153" s="148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3.5" customHeight="1">
      <c r="A154" s="148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3.5" customHeight="1">
      <c r="A155" s="148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3.5" customHeight="1">
      <c r="A156" s="148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3.5" customHeight="1">
      <c r="A157" s="148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3.5" customHeight="1">
      <c r="A158" s="148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3.5" customHeight="1">
      <c r="A159" s="148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3.5" customHeight="1">
      <c r="A160" s="148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3.5" customHeight="1">
      <c r="A161" s="148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3.5" customHeight="1">
      <c r="A162" s="148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3.5" customHeight="1">
      <c r="A163" s="148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3.5" customHeight="1">
      <c r="A164" s="148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3.5" customHeight="1">
      <c r="A165" s="148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3.5" customHeight="1">
      <c r="A166" s="148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3.5" customHeight="1">
      <c r="A167" s="148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3.5" customHeight="1">
      <c r="A168" s="148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3.5" customHeight="1">
      <c r="A169" s="148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3.5" customHeight="1">
      <c r="A170" s="148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3.5" customHeight="1">
      <c r="A171" s="148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3.5" customHeight="1">
      <c r="A172" s="148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3.5" customHeight="1">
      <c r="A173" s="148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3.5" customHeight="1">
      <c r="A174" s="148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3.5" customHeight="1">
      <c r="A175" s="148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3.5" customHeight="1">
      <c r="A176" s="148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3.5" customHeight="1">
      <c r="A177" s="148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3.5" customHeight="1">
      <c r="A178" s="148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3.5" customHeight="1">
      <c r="A179" s="148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3.5" customHeight="1">
      <c r="A180" s="148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3.5" customHeight="1">
      <c r="A181" s="148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3.5" customHeight="1">
      <c r="A182" s="148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3.5" customHeight="1">
      <c r="A183" s="148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3.5" customHeight="1">
      <c r="A184" s="148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3.5" customHeight="1">
      <c r="A185" s="148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3.5" customHeight="1">
      <c r="A186" s="148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3.5" customHeight="1">
      <c r="A187" s="148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3.5" customHeight="1">
      <c r="A188" s="148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3.5" customHeight="1">
      <c r="A189" s="148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3.5" customHeight="1">
      <c r="A190" s="148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3.5" customHeight="1">
      <c r="A191" s="148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3.5" customHeight="1">
      <c r="A192" s="148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3.5" customHeight="1">
      <c r="A193" s="148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3.5" customHeight="1">
      <c r="A194" s="148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3.5" customHeight="1">
      <c r="A195" s="148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3.5" customHeight="1">
      <c r="A196" s="148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3.5" customHeight="1">
      <c r="A197" s="148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3.5" customHeight="1">
      <c r="A198" s="148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3.5" customHeight="1">
      <c r="A199" s="148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3.5" customHeight="1">
      <c r="A200" s="148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3.5" customHeight="1">
      <c r="A201" s="148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3.5" customHeight="1">
      <c r="A202" s="148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3.5" customHeight="1">
      <c r="A203" s="148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3.5" customHeight="1">
      <c r="A204" s="148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3.5" customHeight="1">
      <c r="A205" s="148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3.5" customHeight="1">
      <c r="A206" s="148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3.5" customHeight="1">
      <c r="A207" s="148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3.5" customHeight="1">
      <c r="A208" s="148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3.5" customHeight="1">
      <c r="A209" s="148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3.5" customHeight="1">
      <c r="A210" s="148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3.5" customHeight="1">
      <c r="A211" s="148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3.5" customHeight="1">
      <c r="A212" s="148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3.5" customHeight="1">
      <c r="A213" s="148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3.5" customHeight="1">
      <c r="A214" s="148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3.5" customHeight="1">
      <c r="A215" s="148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3.5" customHeight="1">
      <c r="A216" s="148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3.5" customHeight="1">
      <c r="A217" s="148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3.5" customHeight="1">
      <c r="A218" s="148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3.5" customHeight="1">
      <c r="A219" s="148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3.5" customHeight="1">
      <c r="A220" s="148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3.5" customHeight="1">
      <c r="A221" s="148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3.5" customHeight="1">
      <c r="A222" s="148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3.5" customHeight="1">
      <c r="A223" s="148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3.5" customHeight="1">
      <c r="A224" s="148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3.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3.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3.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3.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3.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3.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3.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3.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3.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3.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3.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3.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13.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13.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13.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13.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13.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13.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13.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13.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13.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13.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13.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13.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13.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13.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13.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13.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13.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13.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13.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13.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13.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13.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13.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13.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13.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13.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13.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13.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13.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13.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13.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13.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13.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13.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13.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13.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13.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13.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13.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13.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13.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13.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13.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13.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13.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13.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13.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13.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13.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13.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13.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13.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13.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13.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13.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13.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13.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13.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13.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13.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13.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13.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13.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13.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13.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13.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13.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13.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13.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13.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13.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13.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13.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13.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13.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13.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13.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13.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13.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13.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13.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13.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13.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13.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13.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13.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13.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13.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13.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13.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13.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13.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13.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13.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13.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13.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13.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13.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13.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13.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13.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13.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13.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13.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13.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13.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13.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13.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13.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13.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13.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13.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13.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13.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13.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13.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13.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13.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13.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13.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13.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13.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13.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13.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13.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13.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13.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13.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13.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13.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13.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13.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13.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13.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13.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13.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13.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13.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13.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13.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13.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13.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13.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13.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13.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13.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13.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13.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13.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3.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13.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13.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13.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13.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13.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13.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13.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13.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13.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13.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13.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13.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13.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13.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13.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13.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13.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3.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3.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3.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3.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3.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3.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3.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3.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3.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3.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3.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3.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3.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3.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3.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3.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3.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3.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3.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3.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3.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3.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3.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3.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3.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3.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3.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3.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3.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3.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3.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3.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3.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3.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3.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3.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3.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3.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3.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3.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3.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3.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3.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3.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3.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3.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3.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3.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3.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3.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3.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3.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3.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3.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3.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3.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3.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3.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3.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3.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3.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3.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3.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3.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3.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3.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3.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3.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3.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3.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3.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3.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3.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3.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3.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3.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3.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3.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3.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3.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3.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3.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3.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3.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3.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3.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3.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3.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3.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3.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3.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3.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3.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3.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3.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3.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3.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3.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3.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3.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3.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3.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3.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3.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3.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3.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3.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3.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3.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3.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3.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3.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3.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3.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3.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3.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3.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3.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3.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3.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3.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3.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3.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3.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3.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3.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3.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3.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3.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3.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3.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3.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3.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3.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3.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3.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3.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3.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3.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3.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3.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3.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3.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3.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3.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3.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3.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3.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3.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3.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3.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3.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3.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3.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3.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3.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3.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3.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3.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3.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3.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3.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3.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3.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3.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3.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3.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3.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3.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3.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3.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3.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3.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3.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3.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3.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3.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3.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3.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3.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3.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3.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3.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3.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3.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3.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3.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3.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3.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3.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3.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3.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3.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3.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3.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3.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3.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3.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3.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3.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3.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3.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3.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3.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3.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3.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3.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3.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3.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3.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3.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3.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3.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3.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3.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3.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3.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3.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3.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3.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3.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3.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3.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3.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3.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3.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3.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3.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3.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3.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3.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3.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3.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3.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3.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3.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3.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3.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3.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3.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3.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3.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3.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3.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3.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3.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3.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3.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3.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3.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3.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3.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3.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3.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3.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3.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3.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3.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3.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3.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3.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3.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3.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3.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3.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3.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3.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3.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3.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3.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3.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3.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3.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3.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3.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3.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3.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3.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3.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3.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3.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3.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3.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3.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3.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3.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3.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3.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3.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3.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3.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3.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3.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3.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3.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3.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3.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3.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3.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3.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3.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3.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3.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3.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3.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3.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3.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3.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3.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3.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3.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3.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3.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3.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3.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3.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3.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3.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3.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3.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3.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3.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3.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3.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3.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3.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3.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3.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3.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3.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3.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3.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3.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3.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3.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3.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3.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3.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3.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3.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3.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3.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3.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3.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3.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3.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3.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3.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3.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3.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3.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3.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3.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3.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3.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3.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3.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3.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3.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3.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3.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3.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3.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3.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3.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3.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3.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3.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3.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3.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3.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3.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3.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3.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3.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3.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3.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3.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3.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3.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3.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3.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3.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3.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3.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3.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3.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3.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3.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3.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3.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3.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3.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3.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3.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3.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3.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3.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3.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3.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3.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3.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3.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3.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3.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3.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3.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3.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3.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3.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3.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3.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3.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3.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3.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3.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3.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3.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3.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3.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3.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3.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3.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3.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3.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3.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3.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3.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3.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3.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3.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3.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3.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3.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3.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3.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3.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3.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3.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3.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3.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3.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3.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3.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3.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3.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3.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3.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3.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3.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3.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3.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3.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3.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3.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3.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3.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3.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3.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3.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3.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3.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3.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3.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3.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3.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3.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3.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3.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3.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3.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3.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3.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3.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3.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3.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3.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3.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3.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3.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3.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3.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3.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3.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3.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3.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3.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3.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3.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3.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3.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3.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3.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3.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3.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3.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3.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3.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3.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3.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3.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3.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3.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3.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3.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3.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3.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3.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3.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3.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3.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3.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3.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3.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3.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3.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3.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3.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3.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3.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3.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3.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3.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3.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3.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3.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3.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3.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3.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3.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3.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3.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3.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3.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3.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3.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3.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3.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3.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3.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3.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3.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3.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3.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3.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3.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3.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3.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3.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3.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3.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3.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3.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3.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3.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3.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3.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3.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3.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3.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3.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3.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3.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3.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3.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3.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3.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3.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3.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3.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3.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3.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3.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3.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3.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3.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3.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3.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3.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3.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3.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3.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3.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3.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3.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13.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13.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13.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</sheetData>
  <mergeCells count="2">
    <mergeCell ref="B1:F1"/>
    <mergeCell ref="F4:G4"/>
  </mergeCells>
  <dataValidations>
    <dataValidation type="custom" allowBlank="1" showDropDown="1" sqref="F6:G24 G25:G29">
      <formula1>AND(ISNUMBER(F6),(NOT(OR(NOT(ISERROR(DATEVALUE(F6))), AND(ISNUMBER(F6), LEFT(CELL("format", F6))="D")))))</formula1>
    </dataValidation>
    <dataValidation type="custom" allowBlank="1" showDropDown="1" sqref="C6:D29 I6:J29">
      <formula1>AND(ISNUMBER(C6),(NOT(OR(NOT(ISERROR(DATEVALUE(C6))), AND(ISNUMBER(C6), LEFT(CELL("format", C6))="D")))))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2025-01-19T11:59:04Z</dcterms:created>
  <dc:creator>Daniel THAO CHANTA</dc:creator>
</cp:coreProperties>
</file>